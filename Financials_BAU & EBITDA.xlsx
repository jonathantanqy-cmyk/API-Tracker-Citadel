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danny\Downloads\"/>
    </mc:Choice>
  </mc:AlternateContent>
  <xr:revisionPtr revIDLastSave="0" documentId="8_{D2E78941-B3E2-4CC5-9098-29CFBE301E38}" xr6:coauthVersionLast="47" xr6:coauthVersionMax="47" xr10:uidLastSave="{00000000-0000-0000-0000-000000000000}"/>
  <bookViews>
    <workbookView xWindow="-120" yWindow="-16320" windowWidth="29040" windowHeight="15720" firstSheet="2" activeTab="8" xr2:uid="{5CA59481-8862-4FAE-BCF8-5819601FE66B}"/>
  </bookViews>
  <sheets>
    <sheet name="BAU&gt;" sheetId="12" r:id="rId1"/>
    <sheet name="BAU v.1" sheetId="1" r:id="rId2"/>
    <sheet name="BAU v.2" sheetId="9" r:id="rId3"/>
    <sheet name="BAU v.3 (Quick)" sheetId="11" r:id="rId4"/>
    <sheet name="REC&gt;" sheetId="13" r:id="rId5"/>
    <sheet name="REC v.1 (Top-Down)" sheetId="4" r:id="rId6"/>
    <sheet name="REC v.2 (Bottom Up)" sheetId="5" r:id="rId7"/>
    <sheet name="MERGE&gt;" sheetId="15" r:id="rId8"/>
    <sheet name="MERGE v.1" sheetId="14" r:id="rId9"/>
    <sheet name="CHARTS&gt;" sheetId="16" r:id="rId10"/>
    <sheet name="CHARTS v.1" sheetId="17" r:id="rId11"/>
  </sheets>
  <definedNames>
    <definedName name="_xlchart.v1.0" hidden="1">('REC v.1 (Top-Down)'!$A$76:$A$78,'REC v.1 (Top-Down)'!$A$85:$A$86,'REC v.1 (Top-Down)'!$A$96)</definedName>
    <definedName name="_xlchart.v1.1" hidden="1">('REC v.1 (Top-Down)'!$D$76:$D$78,'REC v.1 (Top-Down)'!$D$85:$D$86,'REC v.1 (Top-Down)'!$D$96)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6" i="4" l="1"/>
  <c r="B50" i="14"/>
  <c r="D46" i="14"/>
  <c r="C46" i="14"/>
  <c r="B46" i="14"/>
  <c r="D43" i="14"/>
  <c r="C43" i="14"/>
  <c r="D11" i="14"/>
  <c r="C11" i="14"/>
  <c r="B11" i="14"/>
  <c r="C27" i="14"/>
  <c r="B27" i="14"/>
  <c r="C22" i="14"/>
  <c r="B22" i="14"/>
  <c r="D16" i="14"/>
  <c r="C16" i="14"/>
  <c r="B16" i="14"/>
  <c r="I25" i="14"/>
  <c r="H25" i="14"/>
  <c r="H52" i="14" s="1"/>
  <c r="G25" i="14"/>
  <c r="G52" i="14" s="1"/>
  <c r="F25" i="14"/>
  <c r="E25" i="14"/>
  <c r="F52" i="14" s="1"/>
  <c r="D25" i="14"/>
  <c r="D20" i="14"/>
  <c r="D22" i="14" s="1"/>
  <c r="D54" i="14"/>
  <c r="E54" i="14" s="1"/>
  <c r="C54" i="14"/>
  <c r="D51" i="14"/>
  <c r="E51" i="14" s="1"/>
  <c r="C51" i="14"/>
  <c r="D48" i="14"/>
  <c r="E48" i="14" s="1"/>
  <c r="F48" i="14" s="1"/>
  <c r="G48" i="14" s="1"/>
  <c r="H48" i="14" s="1"/>
  <c r="I48" i="14" s="1"/>
  <c r="C48" i="14"/>
  <c r="D47" i="14"/>
  <c r="E47" i="14" s="1"/>
  <c r="F47" i="14" s="1"/>
  <c r="G47" i="14" s="1"/>
  <c r="H47" i="14" s="1"/>
  <c r="I47" i="14" s="1"/>
  <c r="C47" i="14"/>
  <c r="B47" i="14"/>
  <c r="D44" i="14"/>
  <c r="C44" i="14"/>
  <c r="E44" i="14" s="1"/>
  <c r="F44" i="14" s="1"/>
  <c r="G44" i="14" s="1"/>
  <c r="H44" i="14" s="1"/>
  <c r="I44" i="14" s="1"/>
  <c r="B44" i="14"/>
  <c r="D41" i="14"/>
  <c r="C41" i="14"/>
  <c r="E41" i="14" s="1"/>
  <c r="E8" i="14" s="1"/>
  <c r="D89" i="4"/>
  <c r="I89" i="4"/>
  <c r="H89" i="4"/>
  <c r="D87" i="4"/>
  <c r="G89" i="4" s="1"/>
  <c r="F62" i="4"/>
  <c r="G62" i="4" s="1"/>
  <c r="H62" i="4" s="1"/>
  <c r="I62" i="4" s="1"/>
  <c r="D80" i="4"/>
  <c r="E44" i="4"/>
  <c r="E11" i="4" s="1"/>
  <c r="F72" i="4"/>
  <c r="G72" i="4" s="1"/>
  <c r="H72" i="4" s="1"/>
  <c r="I72" i="4" s="1"/>
  <c r="F70" i="4"/>
  <c r="G70" i="4" s="1"/>
  <c r="G68" i="4"/>
  <c r="H68" i="4" s="1"/>
  <c r="I68" i="4" s="1"/>
  <c r="E18" i="4"/>
  <c r="F18" i="4" s="1"/>
  <c r="G18" i="4" s="1"/>
  <c r="H18" i="4" s="1"/>
  <c r="I18" i="4" s="1"/>
  <c r="I19" i="4" s="1"/>
  <c r="F53" i="4"/>
  <c r="G53" i="4" s="1"/>
  <c r="H53" i="4" s="1"/>
  <c r="I53" i="4" s="1"/>
  <c r="D19" i="4"/>
  <c r="C19" i="4"/>
  <c r="D10" i="4"/>
  <c r="C10" i="4"/>
  <c r="I29" i="4"/>
  <c r="H29" i="4"/>
  <c r="G29" i="4"/>
  <c r="F29" i="4"/>
  <c r="E29" i="4"/>
  <c r="D29" i="4"/>
  <c r="C29" i="4"/>
  <c r="B29" i="4"/>
  <c r="I52" i="4"/>
  <c r="H52" i="4"/>
  <c r="G52" i="4"/>
  <c r="F52" i="4"/>
  <c r="E52" i="4"/>
  <c r="D52" i="4"/>
  <c r="C52" i="4"/>
  <c r="I48" i="4"/>
  <c r="H48" i="4"/>
  <c r="G48" i="4"/>
  <c r="F48" i="4"/>
  <c r="E48" i="4"/>
  <c r="D48" i="4"/>
  <c r="C48" i="4"/>
  <c r="I43" i="4"/>
  <c r="H43" i="4"/>
  <c r="G43" i="4"/>
  <c r="F43" i="4"/>
  <c r="E43" i="4"/>
  <c r="D43" i="4"/>
  <c r="C43" i="4"/>
  <c r="I39" i="4"/>
  <c r="H39" i="4"/>
  <c r="K9" i="11"/>
  <c r="E9" i="11" s="1"/>
  <c r="E12" i="11"/>
  <c r="F12" i="11" s="1"/>
  <c r="G12" i="11" s="1"/>
  <c r="H12" i="11" s="1"/>
  <c r="I12" i="11" s="1"/>
  <c r="K8" i="11"/>
  <c r="E8" i="11" s="1"/>
  <c r="F8" i="11" s="1"/>
  <c r="G8" i="11" s="1"/>
  <c r="H8" i="11" s="1"/>
  <c r="I8" i="11" s="1"/>
  <c r="E11" i="11"/>
  <c r="F11" i="11" s="1"/>
  <c r="G11" i="11" s="1"/>
  <c r="H11" i="11" s="1"/>
  <c r="I11" i="11" s="1"/>
  <c r="K14" i="11"/>
  <c r="E14" i="11" s="1"/>
  <c r="F14" i="11" s="1"/>
  <c r="G14" i="11" s="1"/>
  <c r="H14" i="11" s="1"/>
  <c r="I14" i="11" s="1"/>
  <c r="E16" i="11"/>
  <c r="F16" i="11" s="1"/>
  <c r="G16" i="11" s="1"/>
  <c r="H16" i="11" s="1"/>
  <c r="I16" i="11" s="1"/>
  <c r="B13" i="11"/>
  <c r="D10" i="11"/>
  <c r="D13" i="11" s="1"/>
  <c r="C10" i="11"/>
  <c r="C13" i="11" s="1"/>
  <c r="B10" i="11"/>
  <c r="F29" i="9"/>
  <c r="G29" i="9" s="1"/>
  <c r="H29" i="9" s="1"/>
  <c r="I29" i="9" s="1"/>
  <c r="E29" i="9"/>
  <c r="D13" i="9"/>
  <c r="C13" i="9"/>
  <c r="B13" i="9"/>
  <c r="E12" i="9"/>
  <c r="E13" i="9" s="1"/>
  <c r="D29" i="9"/>
  <c r="C29" i="9"/>
  <c r="G21" i="1"/>
  <c r="H21" i="1" s="1"/>
  <c r="I21" i="1" s="1"/>
  <c r="F21" i="1"/>
  <c r="E21" i="1"/>
  <c r="D21" i="1"/>
  <c r="C21" i="1"/>
  <c r="D30" i="1"/>
  <c r="C30" i="1"/>
  <c r="B30" i="1"/>
  <c r="D23" i="1"/>
  <c r="C23" i="1"/>
  <c r="B23" i="1"/>
  <c r="C25" i="9"/>
  <c r="D25" i="9"/>
  <c r="D33" i="9"/>
  <c r="E33" i="9" s="1"/>
  <c r="C33" i="9"/>
  <c r="D31" i="9"/>
  <c r="E31" i="9" s="1"/>
  <c r="F31" i="9" s="1"/>
  <c r="G31" i="9" s="1"/>
  <c r="H31" i="9" s="1"/>
  <c r="I31" i="9" s="1"/>
  <c r="C31" i="9"/>
  <c r="D28" i="9"/>
  <c r="E28" i="9" s="1"/>
  <c r="F28" i="9" s="1"/>
  <c r="G28" i="9" s="1"/>
  <c r="H28" i="9" s="1"/>
  <c r="I28" i="9" s="1"/>
  <c r="C28" i="9"/>
  <c r="B28" i="9"/>
  <c r="D10" i="9"/>
  <c r="D27" i="9" s="1"/>
  <c r="C10" i="9"/>
  <c r="B10" i="9"/>
  <c r="B27" i="9" s="1"/>
  <c r="D26" i="9"/>
  <c r="C26" i="9"/>
  <c r="B26" i="9"/>
  <c r="I33" i="1"/>
  <c r="I32" i="1" s="1"/>
  <c r="I27" i="1"/>
  <c r="I26" i="1" s="1"/>
  <c r="I18" i="1"/>
  <c r="I12" i="1"/>
  <c r="I9" i="1"/>
  <c r="I8" i="1" s="1"/>
  <c r="H33" i="1"/>
  <c r="H32" i="1"/>
  <c r="H27" i="1"/>
  <c r="H26" i="1" s="1"/>
  <c r="H18" i="1"/>
  <c r="H12" i="1"/>
  <c r="H9" i="1"/>
  <c r="H8" i="1" s="1"/>
  <c r="G18" i="1"/>
  <c r="F18" i="1"/>
  <c r="E18" i="1"/>
  <c r="G27" i="1"/>
  <c r="F27" i="1"/>
  <c r="E27" i="1"/>
  <c r="G33" i="1"/>
  <c r="F33" i="1"/>
  <c r="E33" i="1"/>
  <c r="E14" i="1"/>
  <c r="F14" i="1"/>
  <c r="G12" i="1"/>
  <c r="F12" i="1"/>
  <c r="E12" i="1"/>
  <c r="F9" i="1"/>
  <c r="E9" i="1"/>
  <c r="I52" i="14" l="1"/>
  <c r="E52" i="14"/>
  <c r="D27" i="14"/>
  <c r="F54" i="14"/>
  <c r="G54" i="14" s="1"/>
  <c r="E29" i="14"/>
  <c r="F29" i="14" s="1"/>
  <c r="E24" i="14"/>
  <c r="F51" i="14"/>
  <c r="G51" i="14" s="1"/>
  <c r="H51" i="14" s="1"/>
  <c r="I51" i="14" s="1"/>
  <c r="C50" i="14"/>
  <c r="F41" i="14"/>
  <c r="F8" i="14" s="1"/>
  <c r="E18" i="14"/>
  <c r="E13" i="14"/>
  <c r="E19" i="14" s="1"/>
  <c r="G41" i="14"/>
  <c r="F44" i="4"/>
  <c r="G44" i="4" s="1"/>
  <c r="H44" i="4" s="1"/>
  <c r="I44" i="4" s="1"/>
  <c r="E30" i="4"/>
  <c r="E89" i="4"/>
  <c r="I30" i="4"/>
  <c r="F30" i="4"/>
  <c r="F89" i="4"/>
  <c r="D30" i="4"/>
  <c r="C30" i="4"/>
  <c r="G30" i="4"/>
  <c r="H30" i="4"/>
  <c r="H70" i="4"/>
  <c r="F19" i="4"/>
  <c r="H19" i="4"/>
  <c r="G19" i="4"/>
  <c r="E19" i="4"/>
  <c r="F9" i="11"/>
  <c r="E10" i="11"/>
  <c r="E13" i="11" s="1"/>
  <c r="E15" i="11" s="1"/>
  <c r="E17" i="11" s="1"/>
  <c r="D15" i="11"/>
  <c r="B15" i="11"/>
  <c r="C15" i="11"/>
  <c r="I12" i="9"/>
  <c r="I13" i="9" s="1"/>
  <c r="H12" i="9"/>
  <c r="H13" i="9" s="1"/>
  <c r="F12" i="9"/>
  <c r="F13" i="9" s="1"/>
  <c r="G12" i="9"/>
  <c r="G13" i="9" s="1"/>
  <c r="E20" i="1"/>
  <c r="E23" i="1" s="1"/>
  <c r="E25" i="9"/>
  <c r="E8" i="9" s="1"/>
  <c r="E26" i="9"/>
  <c r="F26" i="9" s="1"/>
  <c r="G26" i="9" s="1"/>
  <c r="H26" i="9" s="1"/>
  <c r="I26" i="9" s="1"/>
  <c r="D30" i="9"/>
  <c r="F33" i="9"/>
  <c r="G33" i="9" s="1"/>
  <c r="H33" i="9" s="1"/>
  <c r="I33" i="9" s="1"/>
  <c r="E16" i="9"/>
  <c r="C30" i="9"/>
  <c r="C15" i="9"/>
  <c r="C32" i="9" s="1"/>
  <c r="C27" i="9"/>
  <c r="E14" i="9"/>
  <c r="F14" i="9" s="1"/>
  <c r="G14" i="9" s="1"/>
  <c r="H14" i="9" s="1"/>
  <c r="I14" i="9" s="1"/>
  <c r="I11" i="1"/>
  <c r="I14" i="1" s="1"/>
  <c r="I17" i="1"/>
  <c r="H11" i="1"/>
  <c r="H14" i="1" s="1"/>
  <c r="H17" i="1"/>
  <c r="C40" i="4"/>
  <c r="E8" i="1"/>
  <c r="C53" i="14" l="1"/>
  <c r="B31" i="14"/>
  <c r="F24" i="14"/>
  <c r="G24" i="14" s="1"/>
  <c r="H24" i="14" s="1"/>
  <c r="I24" i="14" s="1"/>
  <c r="G29" i="14"/>
  <c r="H54" i="14"/>
  <c r="I54" i="14" s="1"/>
  <c r="D50" i="14"/>
  <c r="F18" i="14"/>
  <c r="G8" i="14"/>
  <c r="F13" i="14"/>
  <c r="H41" i="14"/>
  <c r="I41" i="14" s="1"/>
  <c r="I70" i="4"/>
  <c r="F11" i="4"/>
  <c r="G9" i="11"/>
  <c r="F10" i="11"/>
  <c r="F13" i="11" s="1"/>
  <c r="F15" i="11" s="1"/>
  <c r="F17" i="11" s="1"/>
  <c r="D17" i="11"/>
  <c r="C17" i="11"/>
  <c r="B17" i="11"/>
  <c r="F20" i="1"/>
  <c r="F23" i="1" s="1"/>
  <c r="F25" i="9"/>
  <c r="F8" i="9" s="1"/>
  <c r="F16" i="9"/>
  <c r="G16" i="9" s="1"/>
  <c r="H16" i="9" s="1"/>
  <c r="I16" i="9" s="1"/>
  <c r="D15" i="9"/>
  <c r="C17" i="9"/>
  <c r="E11" i="9"/>
  <c r="E9" i="9"/>
  <c r="E10" i="9" s="1"/>
  <c r="B30" i="9"/>
  <c r="B15" i="9"/>
  <c r="B32" i="9" s="1"/>
  <c r="I15" i="1"/>
  <c r="H15" i="1"/>
  <c r="F19" i="14" l="1"/>
  <c r="C31" i="14"/>
  <c r="C35" i="14" s="1"/>
  <c r="C57" i="14" s="1"/>
  <c r="B53" i="14"/>
  <c r="H29" i="14"/>
  <c r="I29" i="14" s="1"/>
  <c r="G18" i="14"/>
  <c r="H8" i="14"/>
  <c r="G13" i="14"/>
  <c r="D53" i="14"/>
  <c r="D31" i="14"/>
  <c r="B35" i="14"/>
  <c r="B57" i="14" s="1"/>
  <c r="B56" i="14"/>
  <c r="B55" i="14"/>
  <c r="G11" i="4"/>
  <c r="I11" i="4"/>
  <c r="H11" i="4"/>
  <c r="H9" i="11"/>
  <c r="G10" i="11"/>
  <c r="G13" i="11" s="1"/>
  <c r="G15" i="11" s="1"/>
  <c r="G17" i="11" s="1"/>
  <c r="B19" i="11"/>
  <c r="C19" i="11"/>
  <c r="D19" i="11"/>
  <c r="D17" i="9"/>
  <c r="D34" i="9" s="1"/>
  <c r="D32" i="9"/>
  <c r="G20" i="1"/>
  <c r="G23" i="1" s="1"/>
  <c r="G25" i="9"/>
  <c r="H25" i="9" s="1"/>
  <c r="I25" i="9" s="1"/>
  <c r="E27" i="9"/>
  <c r="F11" i="9"/>
  <c r="F9" i="9"/>
  <c r="F10" i="9" s="1"/>
  <c r="C34" i="9"/>
  <c r="C19" i="9"/>
  <c r="C36" i="9" s="1"/>
  <c r="C35" i="9"/>
  <c r="B17" i="9"/>
  <c r="G19" i="14" l="1"/>
  <c r="C55" i="14"/>
  <c r="C56" i="14"/>
  <c r="D35" i="14"/>
  <c r="D57" i="14" s="1"/>
  <c r="D56" i="14"/>
  <c r="D55" i="14"/>
  <c r="I8" i="14"/>
  <c r="H18" i="14"/>
  <c r="H13" i="14"/>
  <c r="G19" i="11"/>
  <c r="I9" i="11"/>
  <c r="I10" i="11" s="1"/>
  <c r="I13" i="11" s="1"/>
  <c r="I15" i="11" s="1"/>
  <c r="I17" i="11" s="1"/>
  <c r="H10" i="11"/>
  <c r="H13" i="11" s="1"/>
  <c r="H15" i="11" s="1"/>
  <c r="H17" i="11" s="1"/>
  <c r="H18" i="11"/>
  <c r="G18" i="11"/>
  <c r="E18" i="11"/>
  <c r="E19" i="11" s="1"/>
  <c r="F18" i="11"/>
  <c r="F19" i="11" s="1"/>
  <c r="D19" i="9"/>
  <c r="D36" i="9" s="1"/>
  <c r="D35" i="9"/>
  <c r="I20" i="1"/>
  <c r="I23" i="1" s="1"/>
  <c r="H20" i="1"/>
  <c r="H23" i="1" s="1"/>
  <c r="G8" i="9"/>
  <c r="G11" i="9" s="1"/>
  <c r="F27" i="9"/>
  <c r="B34" i="9"/>
  <c r="B19" i="9"/>
  <c r="B36" i="9" s="1"/>
  <c r="B35" i="9"/>
  <c r="E30" i="9"/>
  <c r="E15" i="9"/>
  <c r="E32" i="9" s="1"/>
  <c r="G27" i="5"/>
  <c r="F27" i="5"/>
  <c r="E27" i="5"/>
  <c r="F24" i="5"/>
  <c r="G24" i="5" s="1"/>
  <c r="F21" i="5"/>
  <c r="G21" i="5" s="1"/>
  <c r="F13" i="5"/>
  <c r="F17" i="5" s="1"/>
  <c r="E13" i="5"/>
  <c r="E17" i="5" s="1"/>
  <c r="F10" i="5"/>
  <c r="F7" i="5"/>
  <c r="G7" i="5" s="1"/>
  <c r="E20" i="4"/>
  <c r="D49" i="4"/>
  <c r="C49" i="4"/>
  <c r="G39" i="4"/>
  <c r="F39" i="4"/>
  <c r="E39" i="4"/>
  <c r="D40" i="4"/>
  <c r="E40" i="4" s="1"/>
  <c r="F40" i="4" s="1"/>
  <c r="G40" i="4" s="1"/>
  <c r="H40" i="4" s="1"/>
  <c r="I40" i="4" s="1"/>
  <c r="D22" i="4"/>
  <c r="C22" i="4"/>
  <c r="B22" i="4"/>
  <c r="D13" i="4"/>
  <c r="C13" i="4"/>
  <c r="B13" i="4"/>
  <c r="D39" i="4"/>
  <c r="C39" i="4"/>
  <c r="E32" i="1"/>
  <c r="F32" i="1" s="1"/>
  <c r="G32" i="1" s="1"/>
  <c r="E26" i="1"/>
  <c r="F26" i="1" s="1"/>
  <c r="G26" i="1" s="1"/>
  <c r="D33" i="1"/>
  <c r="C33" i="1"/>
  <c r="D27" i="1"/>
  <c r="C27" i="1"/>
  <c r="D18" i="1"/>
  <c r="C18" i="1"/>
  <c r="B18" i="1"/>
  <c r="D12" i="1"/>
  <c r="C12" i="1"/>
  <c r="B12" i="1"/>
  <c r="D9" i="1"/>
  <c r="C9" i="1"/>
  <c r="D14" i="1"/>
  <c r="D15" i="1" s="1"/>
  <c r="C14" i="1"/>
  <c r="C24" i="1" s="1"/>
  <c r="B14" i="1"/>
  <c r="B15" i="1" s="1"/>
  <c r="F56" i="14" l="1"/>
  <c r="H19" i="14"/>
  <c r="I56" i="14"/>
  <c r="E56" i="14"/>
  <c r="G56" i="14"/>
  <c r="H56" i="14"/>
  <c r="I18" i="14"/>
  <c r="I13" i="14"/>
  <c r="D23" i="4"/>
  <c r="C23" i="4"/>
  <c r="B26" i="4"/>
  <c r="B31" i="4" s="1"/>
  <c r="C14" i="4"/>
  <c r="D14" i="4"/>
  <c r="E9" i="4"/>
  <c r="E10" i="4" s="1"/>
  <c r="F12" i="4"/>
  <c r="H19" i="11"/>
  <c r="I18" i="11"/>
  <c r="I19" i="11" s="1"/>
  <c r="I29" i="1"/>
  <c r="I24" i="1"/>
  <c r="H24" i="1"/>
  <c r="H29" i="1"/>
  <c r="H8" i="9"/>
  <c r="H9" i="9" s="1"/>
  <c r="H10" i="9" s="1"/>
  <c r="G9" i="9"/>
  <c r="G10" i="9" s="1"/>
  <c r="G27" i="9" s="1"/>
  <c r="F15" i="9"/>
  <c r="F32" i="9" s="1"/>
  <c r="F30" i="9"/>
  <c r="I35" i="9"/>
  <c r="H35" i="9"/>
  <c r="G35" i="9"/>
  <c r="F35" i="9"/>
  <c r="E35" i="9"/>
  <c r="E17" i="9"/>
  <c r="F28" i="5"/>
  <c r="E28" i="5"/>
  <c r="F14" i="5"/>
  <c r="G10" i="5"/>
  <c r="G13" i="5" s="1"/>
  <c r="F20" i="4"/>
  <c r="F21" i="4" s="1"/>
  <c r="E22" i="4"/>
  <c r="E23" i="4" s="1"/>
  <c r="D26" i="4"/>
  <c r="C26" i="4"/>
  <c r="E11" i="1"/>
  <c r="E15" i="1" s="1"/>
  <c r="E17" i="1"/>
  <c r="G9" i="1"/>
  <c r="D24" i="1"/>
  <c r="C29" i="1"/>
  <c r="C15" i="1"/>
  <c r="I19" i="14" l="1"/>
  <c r="C31" i="4"/>
  <c r="C27" i="4"/>
  <c r="D31" i="4"/>
  <c r="D94" i="4" s="1"/>
  <c r="D27" i="4"/>
  <c r="F22" i="4"/>
  <c r="F23" i="4" s="1"/>
  <c r="F9" i="4"/>
  <c r="F10" i="4" s="1"/>
  <c r="I30" i="1"/>
  <c r="I35" i="1"/>
  <c r="I36" i="1" s="1"/>
  <c r="H30" i="1"/>
  <c r="H35" i="1"/>
  <c r="H36" i="1" s="1"/>
  <c r="I8" i="9"/>
  <c r="I9" i="9" s="1"/>
  <c r="I10" i="9" s="1"/>
  <c r="H11" i="9"/>
  <c r="G15" i="9"/>
  <c r="G32" i="9" s="1"/>
  <c r="H27" i="9"/>
  <c r="E34" i="9"/>
  <c r="E18" i="9"/>
  <c r="F18" i="9" s="1"/>
  <c r="G18" i="9" s="1"/>
  <c r="H18" i="9" s="1"/>
  <c r="I18" i="9" s="1"/>
  <c r="F17" i="9"/>
  <c r="E13" i="4"/>
  <c r="G17" i="5"/>
  <c r="G28" i="5" s="1"/>
  <c r="G14" i="5"/>
  <c r="F8" i="1"/>
  <c r="E24" i="1"/>
  <c r="B29" i="1"/>
  <c r="B24" i="1"/>
  <c r="D29" i="1"/>
  <c r="C35" i="1"/>
  <c r="C41" i="1" s="1"/>
  <c r="C42" i="1" s="1"/>
  <c r="E26" i="4" l="1"/>
  <c r="E14" i="4"/>
  <c r="G9" i="4"/>
  <c r="G10" i="4" s="1"/>
  <c r="G12" i="4"/>
  <c r="G20" i="4"/>
  <c r="G21" i="4" s="1"/>
  <c r="I11" i="9"/>
  <c r="G30" i="9"/>
  <c r="I27" i="9"/>
  <c r="E19" i="9"/>
  <c r="E36" i="9" s="1"/>
  <c r="G17" i="9"/>
  <c r="F19" i="9"/>
  <c r="F36" i="9" s="1"/>
  <c r="F34" i="9"/>
  <c r="H15" i="9"/>
  <c r="H32" i="9" s="1"/>
  <c r="H30" i="9"/>
  <c r="F13" i="4"/>
  <c r="F14" i="4" s="1"/>
  <c r="E29" i="1"/>
  <c r="F17" i="1"/>
  <c r="F11" i="1"/>
  <c r="G8" i="1"/>
  <c r="D35" i="1"/>
  <c r="D39" i="1" s="1"/>
  <c r="B35" i="1"/>
  <c r="C36" i="1"/>
  <c r="C39" i="1"/>
  <c r="E31" i="4" l="1"/>
  <c r="E9" i="14" s="1"/>
  <c r="E27" i="4"/>
  <c r="G13" i="4"/>
  <c r="G14" i="4" s="1"/>
  <c r="F26" i="4"/>
  <c r="H9" i="4"/>
  <c r="H10" i="4" s="1"/>
  <c r="G22" i="4"/>
  <c r="G23" i="4" s="1"/>
  <c r="I20" i="4"/>
  <c r="H20" i="4"/>
  <c r="H21" i="4" s="1"/>
  <c r="E35" i="1"/>
  <c r="E36" i="1" s="1"/>
  <c r="E30" i="1"/>
  <c r="H17" i="9"/>
  <c r="G19" i="9"/>
  <c r="G36" i="9" s="1"/>
  <c r="G34" i="9"/>
  <c r="I15" i="9"/>
  <c r="I32" i="9" s="1"/>
  <c r="I30" i="9"/>
  <c r="F39" i="1"/>
  <c r="D36" i="1"/>
  <c r="F24" i="1"/>
  <c r="F15" i="1"/>
  <c r="D41" i="1"/>
  <c r="D42" i="1" s="1"/>
  <c r="G17" i="1"/>
  <c r="G11" i="1"/>
  <c r="G14" i="1" s="1"/>
  <c r="B41" i="1"/>
  <c r="B42" i="1" s="1"/>
  <c r="B39" i="1"/>
  <c r="G39" i="1" s="1"/>
  <c r="B36" i="1"/>
  <c r="E11" i="14" l="1"/>
  <c r="E43" i="14" s="1"/>
  <c r="E66" i="4"/>
  <c r="E61" i="4"/>
  <c r="F31" i="4"/>
  <c r="F9" i="14" s="1"/>
  <c r="F27" i="4"/>
  <c r="G26" i="4"/>
  <c r="I21" i="4"/>
  <c r="H12" i="4"/>
  <c r="H13" i="4"/>
  <c r="H14" i="4" s="1"/>
  <c r="I9" i="4"/>
  <c r="I10" i="4" s="1"/>
  <c r="H22" i="4"/>
  <c r="H23" i="4" s="1"/>
  <c r="I22" i="4"/>
  <c r="H39" i="1"/>
  <c r="I39" i="1"/>
  <c r="E39" i="1"/>
  <c r="E38" i="1" s="1"/>
  <c r="E41" i="1" s="1"/>
  <c r="E42" i="1" s="1"/>
  <c r="I17" i="9"/>
  <c r="H19" i="9"/>
  <c r="H36" i="9" s="1"/>
  <c r="H34" i="9"/>
  <c r="F29" i="1"/>
  <c r="G15" i="1"/>
  <c r="F11" i="14" l="1"/>
  <c r="F43" i="14" s="1"/>
  <c r="F42" i="14"/>
  <c r="E80" i="4"/>
  <c r="E20" i="14" s="1"/>
  <c r="E49" i="14" s="1"/>
  <c r="E14" i="14"/>
  <c r="E16" i="14" s="1"/>
  <c r="F66" i="4"/>
  <c r="F61" i="4"/>
  <c r="F14" i="14" s="1"/>
  <c r="F16" i="14" s="1"/>
  <c r="F32" i="4"/>
  <c r="I23" i="4"/>
  <c r="G31" i="4"/>
  <c r="G9" i="14" s="1"/>
  <c r="G27" i="4"/>
  <c r="H26" i="4"/>
  <c r="I13" i="4"/>
  <c r="I14" i="4" s="1"/>
  <c r="I12" i="4"/>
  <c r="F35" i="1"/>
  <c r="F36" i="1" s="1"/>
  <c r="F30" i="1"/>
  <c r="I34" i="9"/>
  <c r="I19" i="9"/>
  <c r="I36" i="9" s="1"/>
  <c r="F38" i="1"/>
  <c r="G38" i="1" s="1"/>
  <c r="H38" i="1" s="1"/>
  <c r="G24" i="1"/>
  <c r="G29" i="1"/>
  <c r="G30" i="1" s="1"/>
  <c r="E94" i="4" l="1"/>
  <c r="F46" i="14"/>
  <c r="E22" i="14"/>
  <c r="E46" i="14"/>
  <c r="G11" i="14"/>
  <c r="G43" i="14" s="1"/>
  <c r="G42" i="14"/>
  <c r="F45" i="14"/>
  <c r="F80" i="4"/>
  <c r="G66" i="4"/>
  <c r="G61" i="4"/>
  <c r="G14" i="14" s="1"/>
  <c r="G45" i="14" s="1"/>
  <c r="G32" i="4"/>
  <c r="H31" i="4"/>
  <c r="H9" i="14" s="1"/>
  <c r="H27" i="4"/>
  <c r="I26" i="4"/>
  <c r="H41" i="1"/>
  <c r="H42" i="1" s="1"/>
  <c r="I38" i="1"/>
  <c r="I41" i="1" s="1"/>
  <c r="I42" i="1" s="1"/>
  <c r="F41" i="1"/>
  <c r="F42" i="1" s="1"/>
  <c r="G35" i="1"/>
  <c r="G36" i="1" s="1"/>
  <c r="G16" i="14" l="1"/>
  <c r="G46" i="14" s="1"/>
  <c r="F94" i="4"/>
  <c r="F20" i="14"/>
  <c r="H11" i="14"/>
  <c r="H43" i="14" s="1"/>
  <c r="H42" i="14"/>
  <c r="H16" i="14"/>
  <c r="E27" i="14"/>
  <c r="E50" i="14"/>
  <c r="H66" i="4"/>
  <c r="G80" i="4"/>
  <c r="H61" i="4"/>
  <c r="H14" i="14" s="1"/>
  <c r="H45" i="14" s="1"/>
  <c r="H32" i="4"/>
  <c r="I31" i="4"/>
  <c r="I9" i="14" s="1"/>
  <c r="I27" i="4"/>
  <c r="G41" i="1"/>
  <c r="G42" i="1" s="1"/>
  <c r="H46" i="14" l="1"/>
  <c r="F49" i="14"/>
  <c r="F22" i="14"/>
  <c r="E31" i="14"/>
  <c r="E53" i="14"/>
  <c r="I11" i="14"/>
  <c r="I43" i="14" s="1"/>
  <c r="I42" i="14"/>
  <c r="I16" i="14"/>
  <c r="G94" i="4"/>
  <c r="G20" i="14"/>
  <c r="H80" i="4"/>
  <c r="I61" i="4"/>
  <c r="I14" i="14" s="1"/>
  <c r="I45" i="14" s="1"/>
  <c r="I66" i="4"/>
  <c r="I32" i="4"/>
  <c r="H94" i="4" l="1"/>
  <c r="H20" i="14"/>
  <c r="F27" i="14"/>
  <c r="F50" i="14"/>
  <c r="E55" i="14"/>
  <c r="E33" i="14"/>
  <c r="F33" i="14" s="1"/>
  <c r="G33" i="14" s="1"/>
  <c r="H33" i="14" s="1"/>
  <c r="I33" i="14" s="1"/>
  <c r="E35" i="14"/>
  <c r="E57" i="14" s="1"/>
  <c r="G49" i="14"/>
  <c r="G22" i="14"/>
  <c r="I46" i="14"/>
  <c r="I80" i="4"/>
  <c r="G27" i="14" l="1"/>
  <c r="G50" i="14"/>
  <c r="I94" i="4"/>
  <c r="I20" i="14"/>
  <c r="F31" i="14"/>
  <c r="F53" i="14"/>
  <c r="H49" i="14"/>
  <c r="H22" i="14"/>
  <c r="G53" i="14" l="1"/>
  <c r="G31" i="14"/>
  <c r="I49" i="14"/>
  <c r="I22" i="14"/>
  <c r="H27" i="14"/>
  <c r="H50" i="14"/>
  <c r="F55" i="14"/>
  <c r="F35" i="14"/>
  <c r="F57" i="14" s="1"/>
  <c r="I27" i="14" l="1"/>
  <c r="I50" i="14"/>
  <c r="H53" i="14"/>
  <c r="H31" i="14"/>
  <c r="G55" i="14"/>
  <c r="G35" i="14"/>
  <c r="G57" i="14" s="1"/>
  <c r="H55" i="14" l="1"/>
  <c r="H35" i="14"/>
  <c r="H57" i="14" s="1"/>
  <c r="I31" i="14"/>
  <c r="I53" i="14"/>
  <c r="I35" i="14" l="1"/>
  <c r="I57" i="14" s="1"/>
  <c r="I55"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9" authorId="0" shapeId="0" xr:uid="{687B06E6-5557-4A05-B5C6-A8D129C39D6E}">
      <text>
        <r>
          <rPr>
            <b/>
            <sz val="9"/>
            <color indexed="81"/>
            <rFont val="Tahoma"/>
            <family val="2"/>
          </rPr>
          <t>DELL:</t>
        </r>
        <r>
          <rPr>
            <sz val="9"/>
            <color indexed="81"/>
            <rFont val="Tahoma"/>
            <family val="2"/>
          </rPr>
          <t xml:space="preserve">
Put indent, italics + 1 font size smaller</t>
        </r>
      </text>
    </comment>
    <comment ref="K9" authorId="0" shapeId="0" xr:uid="{4BD48D91-6245-4A61-BE72-BEAC57E7433F}">
      <text>
        <r>
          <rPr>
            <b/>
            <sz val="9"/>
            <color indexed="81"/>
            <rFont val="Tahoma"/>
            <family val="2"/>
          </rPr>
          <t>DELL:</t>
        </r>
        <r>
          <rPr>
            <sz val="9"/>
            <color indexed="81"/>
            <rFont val="Tahoma"/>
            <family val="2"/>
          </rPr>
          <t xml:space="preserve">
Use moving average to capture movement of trends i.e. if you believe that upward/downward trend is going to continue for the projection period.
Caveat: moving averages usually for stable mature growth trend with more data points. 2 years data are usually not enough and may result in fluctuations. 
Another note: moving average will cause your number to follow trends, but changes are usually minimal (because of central tendency). If you want the numbers to grow/decline faster/larger, use percentage point changes y-o-y (e.g. increase 0.5% y-o-y) or do a regression of past data to get simple straight line formula and use it to predict next data point.</t>
        </r>
      </text>
    </comment>
    <comment ref="A12" authorId="0" shapeId="0" xr:uid="{A7A82C6D-88CE-488F-BA2F-181B8765B2B4}">
      <text>
        <r>
          <rPr>
            <b/>
            <sz val="9"/>
            <color indexed="81"/>
            <rFont val="Tahoma"/>
            <family val="2"/>
          </rPr>
          <t>DELL:</t>
        </r>
        <r>
          <rPr>
            <sz val="9"/>
            <color indexed="81"/>
            <rFont val="Tahoma"/>
            <family val="2"/>
          </rPr>
          <t xml:space="preserve">
Normally COGS expressed as % of revenue.</t>
        </r>
      </text>
    </comment>
    <comment ref="K12" authorId="0" shapeId="0" xr:uid="{687E817B-33B3-4863-A77B-DD08D01815B0}">
      <text>
        <r>
          <rPr>
            <b/>
            <sz val="9"/>
            <color indexed="81"/>
            <rFont val="Tahoma"/>
            <family val="2"/>
          </rPr>
          <t>DELL:</t>
        </r>
        <r>
          <rPr>
            <sz val="9"/>
            <color indexed="81"/>
            <rFont val="Tahoma"/>
            <family val="2"/>
          </rPr>
          <t xml:space="preserve">
Use simple average if you believe that the figure will stay constant. E.g. COGS may not change much over time unless for e.g. management implement efficiency measure, or sales grew much such that production facilities experience economies of scale which reduces unit cost.
For projections which requires management insights, read Annual Report/Equity Research Report to see what the management is up to. Sometimes there are also industry-wide economies of scale (read on your own) that are not company specific</t>
        </r>
      </text>
    </comment>
    <comment ref="A17" authorId="0" shapeId="0" xr:uid="{62E058C7-D8F4-4C75-8E7F-E8DFC32F8643}">
      <text>
        <r>
          <rPr>
            <b/>
            <sz val="9"/>
            <color indexed="81"/>
            <rFont val="Tahoma"/>
            <family val="2"/>
          </rPr>
          <t>DELL:</t>
        </r>
        <r>
          <rPr>
            <sz val="9"/>
            <color indexed="81"/>
            <rFont val="Tahoma"/>
            <family val="2"/>
          </rPr>
          <t xml:space="preserve">
Here I just put 'non-COGS' to make it MECE, but if you want you can expand this into many more line items e.g. SGA. If you want to, can also add 'Other Income' items here (usually from non-primary streams of income.
Also, can be calculated as % of revenue, calculated independently based on its past growth trend as this category may not consist of revenue-driven items. E.g. Admin Salary may not vary in proportion to increase in product sales (hence better to use % y-o-y growth), while Commission might vary with sales (hence better to use % revenue) Use your own judgement.</t>
        </r>
      </text>
    </comment>
    <comment ref="A18" authorId="0" shapeId="0" xr:uid="{DD370585-D851-4786-BDDE-730C00AA6ABD}">
      <text>
        <r>
          <rPr>
            <b/>
            <sz val="9"/>
            <color indexed="81"/>
            <rFont val="Tahoma"/>
            <family val="2"/>
          </rPr>
          <t>DELL:</t>
        </r>
        <r>
          <rPr>
            <sz val="9"/>
            <color indexed="81"/>
            <rFont val="Tahoma"/>
            <family val="2"/>
          </rPr>
          <t xml:space="preserve">
Can be % growth or % revenue.</t>
        </r>
      </text>
    </comment>
    <comment ref="K18" authorId="0" shapeId="0" xr:uid="{DBAEDDE5-6CE3-4425-90FB-D55F9C905674}">
      <text>
        <r>
          <rPr>
            <b/>
            <sz val="9"/>
            <color indexed="81"/>
            <rFont val="Tahoma"/>
            <family val="2"/>
          </rPr>
          <t>DELL:</t>
        </r>
        <r>
          <rPr>
            <sz val="9"/>
            <color indexed="81"/>
            <rFont val="Tahoma"/>
            <family val="2"/>
          </rPr>
          <t xml:space="preserve">
Sometimes, if you want, you can plug number arbitrarily, but must have some form of justification e.g. Past 3 years decrease? Management estimate? Proxy to another company who had done similar strategy and manage to change their numbers?</t>
        </r>
      </text>
    </comment>
    <comment ref="K21" authorId="0" shapeId="0" xr:uid="{27BF13F1-FD92-4E43-8D72-B8EEDE122B4B}">
      <text>
        <r>
          <rPr>
            <b/>
            <sz val="9"/>
            <color indexed="81"/>
            <rFont val="Tahoma"/>
            <family val="2"/>
          </rPr>
          <t>DELL:</t>
        </r>
        <r>
          <rPr>
            <sz val="9"/>
            <color indexed="81"/>
            <rFont val="Tahoma"/>
            <family val="2"/>
          </rPr>
          <t xml:space="preserve">
Sometimes, if you want, you can plug number arbitrarily, but must have some form of justification e.g. Past 3 years decrease? Management estimate? Proxy to another company who had done similar strategy and manage to change their numbers?</t>
        </r>
      </text>
    </comment>
    <comment ref="A23" authorId="0" shapeId="0" xr:uid="{FCEB2A93-4598-4A49-8530-7236FBD75603}">
      <text>
        <r>
          <rPr>
            <b/>
            <sz val="9"/>
            <color indexed="81"/>
            <rFont val="Tahoma"/>
            <family val="2"/>
          </rPr>
          <t>DELL:</t>
        </r>
        <r>
          <rPr>
            <sz val="9"/>
            <color indexed="81"/>
            <rFont val="Tahoma"/>
            <family val="2"/>
          </rPr>
          <t xml:space="preserve">
EBITDA usually not very important except for companies with large D&amp;A e.g. manufacturing. Then you need to separate Non-COGS OPEX and D&amp;A as D&amp;A might have its own trends and constitute large part of expenses.
If D&amp;A is not significant, can just don't write EBITDA and go straight to D&amp;A as part of Non-COGS OPEX and calculate EBIT from Gross Profit - Non-COGS OPEX</t>
        </r>
      </text>
    </comment>
    <comment ref="K27" authorId="0" shapeId="0" xr:uid="{AF0C5DC6-CD1A-4BFA-BB22-22BE237DA0C2}">
      <text>
        <r>
          <rPr>
            <b/>
            <sz val="9"/>
            <color indexed="81"/>
            <rFont val="Tahoma"/>
            <family val="2"/>
          </rPr>
          <t>DELL:</t>
        </r>
        <r>
          <rPr>
            <sz val="9"/>
            <color indexed="81"/>
            <rFont val="Tahoma"/>
            <family val="2"/>
          </rPr>
          <t xml:space="preserve">
Depends on CAPEX spending &amp; depreciation schedule. As you might not have projections for CF statement/BS for such a simple model, some items e.g. D&amp;A can be assumed to stay constant i.e. no projections. </t>
        </r>
      </text>
    </comment>
    <comment ref="A29" authorId="0" shapeId="0" xr:uid="{0CA3FDC2-5ECA-43D1-A359-7D8BE9B69257}">
      <text>
        <r>
          <rPr>
            <b/>
            <sz val="9"/>
            <color indexed="81"/>
            <rFont val="Tahoma"/>
            <family val="2"/>
          </rPr>
          <t>DELL:</t>
        </r>
        <r>
          <rPr>
            <sz val="9"/>
            <color indexed="81"/>
            <rFont val="Tahoma"/>
            <family val="2"/>
          </rPr>
          <t xml:space="preserve">
FYI, especially for companies that has lots of debt/interest payment, sometimes it is good to show EBIT change instead of Net Income change (BAU vs Recommendation) as for some companies their Net Income fluctuates a lot due to interest payment and taxes. 
EBIT, in the meantime, shows you the change purely from operations perspective (either revenue boost or cost improvement) which shows effectiveness of your recommendation
</t>
        </r>
      </text>
    </comment>
    <comment ref="K33" authorId="0" shapeId="0" xr:uid="{86E9A5CC-B54A-4EA3-BBDF-2DE5CCF21A8B}">
      <text>
        <r>
          <rPr>
            <b/>
            <sz val="9"/>
            <color indexed="81"/>
            <rFont val="Tahoma"/>
            <family val="2"/>
          </rPr>
          <t>DELL:</t>
        </r>
        <r>
          <rPr>
            <sz val="9"/>
            <color indexed="81"/>
            <rFont val="Tahoma"/>
            <family val="2"/>
          </rPr>
          <t xml:space="preserve">
Depends on debt schedule. As you might not have projections for CF statement/BS for such a simple model, some items e.g. interest expense can be assumed to stay constant i.e. no projections.</t>
        </r>
      </text>
    </comment>
    <comment ref="A35" authorId="0" shapeId="0" xr:uid="{6BAA45F8-6082-4341-9A5E-C599C1267B90}">
      <text>
        <r>
          <rPr>
            <b/>
            <sz val="9"/>
            <color indexed="81"/>
            <rFont val="Tahoma"/>
            <family val="2"/>
          </rPr>
          <t>DELL:</t>
        </r>
        <r>
          <rPr>
            <sz val="9"/>
            <color indexed="81"/>
            <rFont val="Tahoma"/>
            <family val="2"/>
          </rPr>
          <t xml:space="preserve">
EBT usually not very important, aside from using it to calculate tax rate.</t>
        </r>
      </text>
    </comment>
    <comment ref="K39" authorId="0" shapeId="0" xr:uid="{EC4930F1-11FA-492C-A64A-DB96D5EA24D5}">
      <text>
        <r>
          <rPr>
            <b/>
            <sz val="9"/>
            <color indexed="81"/>
            <rFont val="Tahoma"/>
            <family val="2"/>
          </rPr>
          <t>DELL:</t>
        </r>
        <r>
          <rPr>
            <sz val="9"/>
            <color indexed="81"/>
            <rFont val="Tahoma"/>
            <family val="2"/>
          </rPr>
          <t xml:space="preserve">
Usually tax rates will not change much so simple average would do. However, in cases where for e.g. your recommendation covers geographical expansion and these are the countries where there are lots of tax benefits (e.g. US in Trump era) you may modify your tax rate to increase/decrease accordingly. Use proxy from other company/reports from the countries concerned.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11" authorId="0" shapeId="0" xr:uid="{183520F5-5CB2-40A6-BF2B-E14120097951}">
      <text>
        <r>
          <rPr>
            <b/>
            <sz val="9"/>
            <color indexed="81"/>
            <rFont val="Tahoma"/>
            <family val="2"/>
          </rPr>
          <t>DELL:</t>
        </r>
        <r>
          <rPr>
            <sz val="9"/>
            <color indexed="81"/>
            <rFont val="Tahoma"/>
            <family val="2"/>
          </rPr>
          <t xml:space="preserve">
Here I just put 'non-COGS' to make it MECE, but if you want you can expand this into many more line items e.g. SGA. If you want to, can also add 'Other Income' items here (usually from non-primary streams of income.
Also, can be calculated as % of revenue, calculated independently based on its past growth trend as this category may not consist of revenue-driven items. E.g. Admin Salary may not vary in proportion to increase in product sales (hence better to use % y-o-y growth), while Commission might vary with sales (hence better to use % revenue) Use your own judgement.</t>
        </r>
      </text>
    </comment>
    <comment ref="A13" authorId="0" shapeId="0" xr:uid="{C6A5A514-FC3F-4793-A96C-76CDD5D194D0}">
      <text>
        <r>
          <rPr>
            <b/>
            <sz val="9"/>
            <color indexed="81"/>
            <rFont val="Tahoma"/>
            <family val="2"/>
          </rPr>
          <t>DELL:</t>
        </r>
        <r>
          <rPr>
            <sz val="9"/>
            <color indexed="81"/>
            <rFont val="Tahoma"/>
            <family val="2"/>
          </rPr>
          <t xml:space="preserve">
EBITDA usually not very important except for companies with large D&amp;A e.g. manufacturing. Then you need to separate Non-COGS OPEX and D&amp;A as D&amp;A might have its own trends and constitute large part of expenses.
If D&amp;A is not significant, can just don't write EBITDA and go straight to D&amp;A as part of Non-COGS OPEX and calculate EBIT from Gross Profit - Non-COGS OPEX</t>
        </r>
      </text>
    </comment>
    <comment ref="A15" authorId="0" shapeId="0" xr:uid="{EAE77027-D7AA-47FA-B5A2-8BEACA1EC8F3}">
      <text>
        <r>
          <rPr>
            <b/>
            <sz val="9"/>
            <color indexed="81"/>
            <rFont val="Tahoma"/>
            <family val="2"/>
          </rPr>
          <t>DELL:</t>
        </r>
        <r>
          <rPr>
            <sz val="9"/>
            <color indexed="81"/>
            <rFont val="Tahoma"/>
            <family val="2"/>
          </rPr>
          <t xml:space="preserve">
FYI, especially for companies that has lots of debt/interest payment, sometimes it is good to show EBIT change instead of Net Income change (BAU vs Recommendation) as for some companies their Net Income fluctuates a lot due to interest payment and taxes. 
EBIT, in the meantime, shows you the change purely from operations perspective (either revenue boost or cost improvement) which shows effectiveness of your recommendation
</t>
        </r>
      </text>
    </comment>
    <comment ref="A17" authorId="0" shapeId="0" xr:uid="{88AF529B-BE47-4B90-ACC3-CF6B362381DA}">
      <text>
        <r>
          <rPr>
            <b/>
            <sz val="9"/>
            <color indexed="81"/>
            <rFont val="Tahoma"/>
            <family val="2"/>
          </rPr>
          <t>DELL:</t>
        </r>
        <r>
          <rPr>
            <sz val="9"/>
            <color indexed="81"/>
            <rFont val="Tahoma"/>
            <family val="2"/>
          </rPr>
          <t xml:space="preserve">
EBT usually not very important, aside from using it to calculate tax rate.</t>
        </r>
      </text>
    </comment>
    <comment ref="K25" authorId="0" shapeId="0" xr:uid="{D524FB71-3807-4335-9AA5-485289DACEDF}">
      <text>
        <r>
          <rPr>
            <b/>
            <sz val="9"/>
            <color indexed="81"/>
            <rFont val="Tahoma"/>
            <family val="2"/>
          </rPr>
          <t>DELL:</t>
        </r>
        <r>
          <rPr>
            <sz val="9"/>
            <color indexed="81"/>
            <rFont val="Tahoma"/>
            <family val="2"/>
          </rPr>
          <t xml:space="preserve">
Use moving average to capture movement of trends i.e. if you believe that upward/downward trend is going to continue for the projection period.
Caveat: moving averages usually for stable mature growth trend with more data points. 2 years data are usually not enough and may result in fluctuations. 
Another note: moving average will cause your number to follow trends, but changes are usually minimal (because of central tendency). If you want the numbers to grow/decline faster/larger, use percentage point changes y-o-y (e.g. increase 0.5% y-o-y) or do a regression of past data to get simple straight line formula and use it to predict next data point.</t>
        </r>
      </text>
    </comment>
    <comment ref="K26" authorId="0" shapeId="0" xr:uid="{A4A6A4D8-F5AA-491B-B7DA-E6C3E9422798}">
      <text>
        <r>
          <rPr>
            <b/>
            <sz val="9"/>
            <color indexed="81"/>
            <rFont val="Tahoma"/>
            <family val="2"/>
          </rPr>
          <t>DELL:</t>
        </r>
        <r>
          <rPr>
            <sz val="9"/>
            <color indexed="81"/>
            <rFont val="Tahoma"/>
            <family val="2"/>
          </rPr>
          <t xml:space="preserve">
Use simple average if you believe that the figure will stay constant. E.g. COGS may not change much over time unless for e.g. management implement efficiency measure, or sales grew much such that production facilities experience economies of scale which reduces unit cost.
For projections which requires management insights, read Annual Report/Equity Research Report to see what the management is up to. Sometimes there are also industry-wide economies of scale (read on your own) that are not company specific</t>
        </r>
      </text>
    </comment>
    <comment ref="A28" authorId="0" shapeId="0" xr:uid="{9EF827EB-634E-4F43-A9D0-15C51BE93896}">
      <text>
        <r>
          <rPr>
            <b/>
            <sz val="9"/>
            <color indexed="81"/>
            <rFont val="Tahoma"/>
            <family val="2"/>
          </rPr>
          <t>DELL:</t>
        </r>
        <r>
          <rPr>
            <sz val="9"/>
            <color indexed="81"/>
            <rFont val="Tahoma"/>
            <family val="2"/>
          </rPr>
          <t xml:space="preserve">
Here I just put 'non-COGS' to make it MECE, but if you want you can expand this into many more line items e.g. SGA. If you want to, can also add 'Other Income' items here (usually from non-primary streams of income.
Also, can be calculated as % of revenue, calculated independently based on its past growth trend as this category may not consist of revenue-driven items. E.g. Admin Salary may not vary in proportion to increase in product sales (hence better to use % y-o-y growth), while Commission might vary with sales (hence better to use % revenue) Use your own judgement.</t>
        </r>
      </text>
    </comment>
    <comment ref="K28" authorId="0" shapeId="0" xr:uid="{F4441B03-33C1-4310-BA5F-524AAB1227B8}">
      <text>
        <r>
          <rPr>
            <b/>
            <sz val="9"/>
            <color indexed="81"/>
            <rFont val="Tahoma"/>
            <family val="2"/>
          </rPr>
          <t>DELL:</t>
        </r>
        <r>
          <rPr>
            <sz val="9"/>
            <color indexed="81"/>
            <rFont val="Tahoma"/>
            <family val="2"/>
          </rPr>
          <t xml:space="preserve">
Sometimes, if you want, you can plug number arbitrarily, but must have some form of justification e.g. Past 3 years decrease? Management estimate? Proxy to another company who had done similar strategy and manage to change their numbers?</t>
        </r>
      </text>
    </comment>
    <comment ref="K29" authorId="0" shapeId="0" xr:uid="{5DAC154F-E616-4524-AFA4-6FB4ADDB78BE}">
      <text>
        <r>
          <rPr>
            <b/>
            <sz val="9"/>
            <color indexed="81"/>
            <rFont val="Tahoma"/>
            <family val="2"/>
          </rPr>
          <t>DELL:</t>
        </r>
        <r>
          <rPr>
            <sz val="9"/>
            <color indexed="81"/>
            <rFont val="Tahoma"/>
            <family val="2"/>
          </rPr>
          <t xml:space="preserve">
Sometimes, if you want, you can plug number arbitrarily, but must have some form of justification e.g. Past 3 years decrease? Management estimate? Proxy to another company who had done similar strategy and manage to change their numbers?</t>
        </r>
      </text>
    </comment>
    <comment ref="A30" authorId="0" shapeId="0" xr:uid="{FCF6D60C-A445-4813-9687-EFC88C823096}">
      <text>
        <r>
          <rPr>
            <b/>
            <sz val="9"/>
            <color indexed="81"/>
            <rFont val="Tahoma"/>
            <family val="2"/>
          </rPr>
          <t>DELL:</t>
        </r>
        <r>
          <rPr>
            <sz val="9"/>
            <color indexed="81"/>
            <rFont val="Tahoma"/>
            <family val="2"/>
          </rPr>
          <t xml:space="preserve">
EBITDA usually not very important except for companies with large D&amp;A e.g. manufacturing. Then you need to separate Non-COGS OPEX and D&amp;A as D&amp;A might have its own trends and constitute large part of expenses.
If D&amp;A is not significant, can just don't write EBITDA and go straight to D&amp;A as part of Non-COGS OPEX and calculate EBIT from Gross Profit - Non-COGS OPEX</t>
        </r>
      </text>
    </comment>
    <comment ref="K31" authorId="0" shapeId="0" xr:uid="{033B2121-B897-4912-98C1-E4E1EFCD9DA9}">
      <text>
        <r>
          <rPr>
            <b/>
            <sz val="9"/>
            <color indexed="81"/>
            <rFont val="Tahoma"/>
            <family val="2"/>
          </rPr>
          <t>DELL:</t>
        </r>
        <r>
          <rPr>
            <sz val="9"/>
            <color indexed="81"/>
            <rFont val="Tahoma"/>
            <family val="2"/>
          </rPr>
          <t xml:space="preserve">
Depends on CAPEX spending &amp; depreciation schedule. As you might not have projections for CF statement/BS for such a simple model, some items e.g. D&amp;A can be assumed to stay constant i.e. no projections. </t>
        </r>
      </text>
    </comment>
    <comment ref="A32" authorId="0" shapeId="0" xr:uid="{C639DFAE-7707-4C10-BC8F-177AF5A4A2BB}">
      <text>
        <r>
          <rPr>
            <b/>
            <sz val="9"/>
            <color indexed="81"/>
            <rFont val="Tahoma"/>
            <family val="2"/>
          </rPr>
          <t>DELL:</t>
        </r>
        <r>
          <rPr>
            <sz val="9"/>
            <color indexed="81"/>
            <rFont val="Tahoma"/>
            <family val="2"/>
          </rPr>
          <t xml:space="preserve">
FYI, especially for companies that has lots of debt/interest payment, sometimes it is good to show EBIT instead of Net Income change (BAU vs Recommendation) as for some companies their Net Income fluctuates a lot due to interest payment and taxes. 
EBIT, in the meantime, shows you the change purely from operations perspective (either revenue boost or cost improvement) which shows effectiveness of your recommendation
</t>
        </r>
      </text>
    </comment>
    <comment ref="K33" authorId="0" shapeId="0" xr:uid="{CE10E407-D2DC-45AC-ABC4-496B4B56D312}">
      <text>
        <r>
          <rPr>
            <b/>
            <sz val="9"/>
            <color indexed="81"/>
            <rFont val="Tahoma"/>
            <family val="2"/>
          </rPr>
          <t>DELL:</t>
        </r>
        <r>
          <rPr>
            <sz val="9"/>
            <color indexed="81"/>
            <rFont val="Tahoma"/>
            <family val="2"/>
          </rPr>
          <t xml:space="preserve">
Depends on debt schedule. As you might not have projections for CF statement/BS for such a simple model, some items e.g. interest expense can be assumed to stay constant i.e. no projections.</t>
        </r>
      </text>
    </comment>
    <comment ref="A34" authorId="0" shapeId="0" xr:uid="{CCED2055-F02F-4E09-9A12-9001961DBEB5}">
      <text>
        <r>
          <rPr>
            <b/>
            <sz val="9"/>
            <color indexed="81"/>
            <rFont val="Tahoma"/>
            <family val="2"/>
          </rPr>
          <t>DELL:</t>
        </r>
        <r>
          <rPr>
            <sz val="9"/>
            <color indexed="81"/>
            <rFont val="Tahoma"/>
            <family val="2"/>
          </rPr>
          <t xml:space="preserve">
EBT usually not very important, aside from using it to calculate tax rate.</t>
        </r>
      </text>
    </comment>
    <comment ref="K35" authorId="0" shapeId="0" xr:uid="{5996F3F5-A1FC-49FF-AE5B-552751FD0F8F}">
      <text>
        <r>
          <rPr>
            <b/>
            <sz val="9"/>
            <color indexed="81"/>
            <rFont val="Tahoma"/>
            <family val="2"/>
          </rPr>
          <t>DELL:</t>
        </r>
        <r>
          <rPr>
            <sz val="9"/>
            <color indexed="81"/>
            <rFont val="Tahoma"/>
            <family val="2"/>
          </rPr>
          <t xml:space="preserve">
Usually tax rates will not change much so simple average would do. However, in cases where for e.g. your recommendation covers geographical expansion and these are the countries where there are lots of tax benefits (e.g. US in Trump era) you may modify your tax rate to increase/decrease accordingly. Use proxy from other company/reports from the countries concerned.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M9" authorId="0" shapeId="0" xr:uid="{32CBF8DB-3E7A-4D32-9049-303893722B5C}">
      <text>
        <r>
          <rPr>
            <b/>
            <sz val="9"/>
            <color indexed="81"/>
            <rFont val="Tahoma"/>
            <family val="2"/>
          </rPr>
          <t>DELL:</t>
        </r>
        <r>
          <rPr>
            <sz val="9"/>
            <color indexed="81"/>
            <rFont val="Tahoma"/>
            <family val="2"/>
          </rPr>
          <t xml:space="preserve">
This is another way of saying that COGS will grow in line as % of Revenue; however, it will be with the COGS/Revenue ratio for the latest year i.e. 2014A. The model is not perfect but simple and quick. If you want to assume that the company will be more cost-efficient, then make the CAGR lower than Revenue CAGR. </t>
        </r>
      </text>
    </comment>
    <comment ref="A11" authorId="0" shapeId="0" xr:uid="{067F2019-5790-4E8B-8E63-6605E1A77305}">
      <text>
        <r>
          <rPr>
            <b/>
            <sz val="9"/>
            <color indexed="81"/>
            <rFont val="Tahoma"/>
            <family val="2"/>
          </rPr>
          <t>DELL:</t>
        </r>
        <r>
          <rPr>
            <sz val="9"/>
            <color indexed="81"/>
            <rFont val="Tahoma"/>
            <family val="2"/>
          </rPr>
          <t xml:space="preserve">
Here I just put 'non-COGS' to make it MECE, but if you want you can expand this into many more line items e.g. SGA. If you want to, can also add 'Other Income' items here (usually from non-primary streams of income.
Also, can be calculated as % of revenue, calculated independently based on its past growth trend as this category may not consist of revenue-driven items. E.g. Admin Salary may not vary in proportion to increase in product sales (hence better to use % y-o-y growth), while Commission might vary with sales (hence better to use % revenue) Use your own judgement.</t>
        </r>
      </text>
    </comment>
    <comment ref="A13" authorId="0" shapeId="0" xr:uid="{9C5FCF27-5129-4CDB-AAD9-264226CC8498}">
      <text>
        <r>
          <rPr>
            <b/>
            <sz val="9"/>
            <color indexed="81"/>
            <rFont val="Tahoma"/>
            <family val="2"/>
          </rPr>
          <t>DELL:</t>
        </r>
        <r>
          <rPr>
            <sz val="9"/>
            <color indexed="81"/>
            <rFont val="Tahoma"/>
            <family val="2"/>
          </rPr>
          <t xml:space="preserve">
EBITDA usually not very important except for companies with large D&amp;A e.g. manufacturing. Then you need to separate Non-COGS OPEX and D&amp;A as D&amp;A might have its own trends and constitute large part of expenses.
If D&amp;A is not significant, can just don't write EBITDA and go straight to D&amp;A as part of Non-COGS OPEX and calculate EBIT from Gross Profit - Non-COGS OPEX</t>
        </r>
      </text>
    </comment>
    <comment ref="A15" authorId="0" shapeId="0" xr:uid="{28E79C1B-E740-4433-9F61-4BFD8A845874}">
      <text>
        <r>
          <rPr>
            <b/>
            <sz val="9"/>
            <color indexed="81"/>
            <rFont val="Tahoma"/>
            <family val="2"/>
          </rPr>
          <t>DELL:</t>
        </r>
        <r>
          <rPr>
            <sz val="9"/>
            <color indexed="81"/>
            <rFont val="Tahoma"/>
            <family val="2"/>
          </rPr>
          <t xml:space="preserve">
FYI, especially for companies that has lots of debt/interest payment, sometimes it is good to show EBIT change instead of Net Income change (BAU vs Recommendation) as for some companies their Net Income fluctuates a lot due to interest payment and taxes. 
EBIT, in the meantime, shows you the change purely from operations perspective (either revenue boost or cost improvement) which shows effectiveness of your recommendation
</t>
        </r>
      </text>
    </comment>
    <comment ref="A17" authorId="0" shapeId="0" xr:uid="{74BB892A-09CA-4F55-B549-5ECA1F29205B}">
      <text>
        <r>
          <rPr>
            <b/>
            <sz val="9"/>
            <color indexed="81"/>
            <rFont val="Tahoma"/>
            <family val="2"/>
          </rPr>
          <t>DELL:</t>
        </r>
        <r>
          <rPr>
            <sz val="9"/>
            <color indexed="81"/>
            <rFont val="Tahoma"/>
            <family val="2"/>
          </rPr>
          <t xml:space="preserve">
EBT usually not very important, aside from using it to calculate tax rate.</t>
        </r>
      </text>
    </comment>
    <comment ref="M18" authorId="0" shapeId="0" xr:uid="{8F6E361B-6325-4684-A80A-49B1AD5578A6}">
      <text>
        <r>
          <rPr>
            <b/>
            <sz val="9"/>
            <color indexed="81"/>
            <rFont val="Tahoma"/>
            <family val="2"/>
          </rPr>
          <t>DELL:</t>
        </r>
        <r>
          <rPr>
            <sz val="9"/>
            <color indexed="81"/>
            <rFont val="Tahoma"/>
            <family val="2"/>
          </rPr>
          <t xml:space="preserve">
Here, as Tax Rate can't exactly be computed as CAGR, I used formula to determine average tax rate from 2012A-2014A. Check cell E16.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18" authorId="0" shapeId="0" xr:uid="{8C645E21-0FFF-4D75-8B54-3E2F0BA682A0}">
      <text>
        <r>
          <rPr>
            <b/>
            <sz val="9"/>
            <color indexed="81"/>
            <rFont val="Tahoma"/>
            <family val="2"/>
          </rPr>
          <t>DELL:</t>
        </r>
        <r>
          <rPr>
            <sz val="9"/>
            <color indexed="81"/>
            <rFont val="Tahoma"/>
            <family val="2"/>
          </rPr>
          <t xml:space="preserve">
Here I just put 'non-COGS' to make it MECE, but if you want you can expand this into many more line items e.g. SGA. If you want to, can also add 'Other Income' items here (usually from non-primary streams of income.
Also, can be calculated as % of revenue, calculated independently based on its past growth trend as this category may not consist of revenue-driven items. E.g. Admin Salary may not vary in proportion to increase in product sales (hence better to use % y-o-y growth), while Commission might vary with sales (hence better to use % revenue) Use your own judgement.</t>
        </r>
      </text>
    </comment>
    <comment ref="A22" authorId="0" shapeId="0" xr:uid="{4345A40E-7FC6-495F-A1C6-2811C14E0942}">
      <text>
        <r>
          <rPr>
            <b/>
            <sz val="9"/>
            <color indexed="81"/>
            <rFont val="Tahoma"/>
            <family val="2"/>
          </rPr>
          <t>DELL:</t>
        </r>
        <r>
          <rPr>
            <sz val="9"/>
            <color indexed="81"/>
            <rFont val="Tahoma"/>
            <family val="2"/>
          </rPr>
          <t xml:space="preserve">
EBITDA usually not very important except for companies with large D&amp;A e.g. manufacturing. Then you need to separate Non-COGS OPEX and D&amp;A as D&amp;A might have its own trends and constitute large part of expenses.
If D&amp;A is not significant, can just don't write EBITDA and go straight to D&amp;A as part of Non-COGS OPEX and calculate EBIT from Gross Profit - Non-COGS OPEX</t>
        </r>
      </text>
    </comment>
    <comment ref="A27" authorId="0" shapeId="0" xr:uid="{64350DAF-6CA4-4C3B-B35F-02F7552B013C}">
      <text>
        <r>
          <rPr>
            <b/>
            <sz val="9"/>
            <color indexed="81"/>
            <rFont val="Tahoma"/>
            <family val="2"/>
          </rPr>
          <t>DELL:</t>
        </r>
        <r>
          <rPr>
            <sz val="9"/>
            <color indexed="81"/>
            <rFont val="Tahoma"/>
            <family val="2"/>
          </rPr>
          <t xml:space="preserve">
FYI, especially for companies that has lots of debt/interest payment, sometimes it is good to show EBIT change instead of Net Income change (BAU vs Recommendation) as for some companies their Net Income fluctuates a lot due to interest payment and taxes. 
EBIT, in the meantime, shows you the change purely from operations perspective (either revenue boost or cost improvement) which shows effectiveness of your recommendation
</t>
        </r>
      </text>
    </comment>
    <comment ref="A31" authorId="0" shapeId="0" xr:uid="{2A4C1AC9-B3F7-49E5-ABD9-52893481B32F}">
      <text>
        <r>
          <rPr>
            <b/>
            <sz val="9"/>
            <color indexed="81"/>
            <rFont val="Tahoma"/>
            <family val="2"/>
          </rPr>
          <t>DELL:</t>
        </r>
        <r>
          <rPr>
            <sz val="9"/>
            <color indexed="81"/>
            <rFont val="Tahoma"/>
            <family val="2"/>
          </rPr>
          <t xml:space="preserve">
EBT usually not very important, aside from using it to calculate tax rate.</t>
        </r>
      </text>
    </comment>
    <comment ref="K41" authorId="0" shapeId="0" xr:uid="{899511F8-6337-4C20-8C5F-C1FD053FDF4B}">
      <text>
        <r>
          <rPr>
            <b/>
            <sz val="9"/>
            <color indexed="81"/>
            <rFont val="Tahoma"/>
            <family val="2"/>
          </rPr>
          <t>DELL:</t>
        </r>
        <r>
          <rPr>
            <sz val="9"/>
            <color indexed="81"/>
            <rFont val="Tahoma"/>
            <family val="2"/>
          </rPr>
          <t xml:space="preserve">
Use moving average to capture movement of trends i.e. if you believe that upward/downward trend is going to continue for the projection period.
Caveat: moving averages usually for stable mature growth trend with more data points. 2 years data are usually not enough and may result in fluctuations. 
Another note: moving average will cause your number to follow trends, but changes are usually minimal (because of central tendency). If you want the numbers to grow/decline faster/larger, use percentage point changes y-o-y (e.g. increase 0.5% y-o-y) or do a regression of past data to get simple straight line formula and use it to predict next data point.</t>
        </r>
      </text>
    </comment>
    <comment ref="K44" authorId="0" shapeId="0" xr:uid="{E7F20805-4296-44D9-989E-4075B9A21064}">
      <text>
        <r>
          <rPr>
            <b/>
            <sz val="9"/>
            <color indexed="81"/>
            <rFont val="Tahoma"/>
            <family val="2"/>
          </rPr>
          <t>DELL:</t>
        </r>
        <r>
          <rPr>
            <sz val="9"/>
            <color indexed="81"/>
            <rFont val="Tahoma"/>
            <family val="2"/>
          </rPr>
          <t xml:space="preserve">
Use simple average if you believe that the figure will stay constant. E.g. COGS may not change much over time unless for e.g. management implement efficiency measure, or sales grew much such that production facilities experience economies of scale which reduces unit cost.
For projections which requires management insights, read Annual Report/Equity Research Report to see what the management is up to. Sometimes there are also industry-wide economies of scale (read on your own) that are not company specific</t>
        </r>
      </text>
    </comment>
    <comment ref="A47" authorId="0" shapeId="0" xr:uid="{A07E98C4-488F-4EDD-BB99-27EFEF892EC7}">
      <text>
        <r>
          <rPr>
            <b/>
            <sz val="9"/>
            <color indexed="81"/>
            <rFont val="Tahoma"/>
            <family val="2"/>
          </rPr>
          <t>DELL:</t>
        </r>
        <r>
          <rPr>
            <sz val="9"/>
            <color indexed="81"/>
            <rFont val="Tahoma"/>
            <family val="2"/>
          </rPr>
          <t xml:space="preserve">
Here I just put 'non-COGS' to make it MECE, but if you want you can expand this into many more line items e.g. SGA. If you want to, can also add 'Other Income' items here (usually from non-primary streams of income.
Also, can be calculated as % of revenue, calculated independently based on its past growth trend as this category may not consist of revenue-driven items. E.g. Admin Salary may not vary in proportion to increase in product sales (hence better to use % y-o-y growth), while Commission might vary with sales (hence better to use % revenue) Use your own judgement.</t>
        </r>
      </text>
    </comment>
    <comment ref="K47" authorId="0" shapeId="0" xr:uid="{711091F3-C931-4DD3-8D2D-57D3ADD04CB4}">
      <text>
        <r>
          <rPr>
            <b/>
            <sz val="9"/>
            <color indexed="81"/>
            <rFont val="Tahoma"/>
            <family val="2"/>
          </rPr>
          <t>DELL:</t>
        </r>
        <r>
          <rPr>
            <sz val="9"/>
            <color indexed="81"/>
            <rFont val="Tahoma"/>
            <family val="2"/>
          </rPr>
          <t xml:space="preserve">
Sometimes, if you want, you can plug number arbitrarily, but must have some form of justification e.g. Past 3 years decrease? Management estimate? Proxy to another company who had done similar strategy and manage to change their numbers?</t>
        </r>
      </text>
    </comment>
    <comment ref="K48" authorId="0" shapeId="0" xr:uid="{CBA59005-4B18-47C7-81F6-5815C1F9B184}">
      <text>
        <r>
          <rPr>
            <b/>
            <sz val="9"/>
            <color indexed="81"/>
            <rFont val="Tahoma"/>
            <family val="2"/>
          </rPr>
          <t>DELL:</t>
        </r>
        <r>
          <rPr>
            <sz val="9"/>
            <color indexed="81"/>
            <rFont val="Tahoma"/>
            <family val="2"/>
          </rPr>
          <t xml:space="preserve">
Sometimes, if you want, you can plug number arbitrarily, but must have some form of justification e.g. Past 3 years decrease? Management estimate? Proxy to another company who had done similar strategy and manage to change their numbers?</t>
        </r>
      </text>
    </comment>
    <comment ref="A50" authorId="0" shapeId="0" xr:uid="{387949FD-C6A3-47EA-B094-F0359384D577}">
      <text>
        <r>
          <rPr>
            <b/>
            <sz val="9"/>
            <color indexed="81"/>
            <rFont val="Tahoma"/>
            <family val="2"/>
          </rPr>
          <t>DELL:</t>
        </r>
        <r>
          <rPr>
            <sz val="9"/>
            <color indexed="81"/>
            <rFont val="Tahoma"/>
            <family val="2"/>
          </rPr>
          <t xml:space="preserve">
EBITDA usually not very important except for companies with large D&amp;A e.g. manufacturing. Then you need to separate Non-COGS OPEX and D&amp;A as D&amp;A might have its own trends and constitute large part of expenses.
If D&amp;A is not significant, can just don't write EBITDA and go straight to D&amp;A as part of Non-COGS OPEX and calculate EBIT from Gross Profit - Non-COGS OPEX</t>
        </r>
      </text>
    </comment>
    <comment ref="K51" authorId="0" shapeId="0" xr:uid="{0B372E10-6231-4794-BB59-312178FB0131}">
      <text>
        <r>
          <rPr>
            <b/>
            <sz val="9"/>
            <color indexed="81"/>
            <rFont val="Tahoma"/>
            <family val="2"/>
          </rPr>
          <t>DELL:</t>
        </r>
        <r>
          <rPr>
            <sz val="9"/>
            <color indexed="81"/>
            <rFont val="Tahoma"/>
            <family val="2"/>
          </rPr>
          <t xml:space="preserve">
Depends on CAPEX spending &amp; depreciation schedule. As you might not have projections for CF statement/BS for such a simple model, some items e.g. D&amp;A can be assumed to stay constant i.e. no projections. </t>
        </r>
      </text>
    </comment>
    <comment ref="A53" authorId="0" shapeId="0" xr:uid="{3866AA29-5340-42BC-8752-868DC1319F3C}">
      <text>
        <r>
          <rPr>
            <b/>
            <sz val="9"/>
            <color indexed="81"/>
            <rFont val="Tahoma"/>
            <family val="2"/>
          </rPr>
          <t>DELL:</t>
        </r>
        <r>
          <rPr>
            <sz val="9"/>
            <color indexed="81"/>
            <rFont val="Tahoma"/>
            <family val="2"/>
          </rPr>
          <t xml:space="preserve">
FYI, especially for companies that has lots of debt/interest payment, sometimes it is good to show EBIT instead of Net Income change (BAU vs Recommendation) as for some companies their Net Income fluctuates a lot due to interest payment and taxes. 
EBIT, in the meantime, shows you the change purely from operations perspective (either revenue boost or cost improvement) which shows effectiveness of your recommendation
</t>
        </r>
      </text>
    </comment>
    <comment ref="K54" authorId="0" shapeId="0" xr:uid="{8B738D91-6ED6-423E-BAD0-A3DC587590C2}">
      <text>
        <r>
          <rPr>
            <b/>
            <sz val="9"/>
            <color indexed="81"/>
            <rFont val="Tahoma"/>
            <family val="2"/>
          </rPr>
          <t>DELL:</t>
        </r>
        <r>
          <rPr>
            <sz val="9"/>
            <color indexed="81"/>
            <rFont val="Tahoma"/>
            <family val="2"/>
          </rPr>
          <t xml:space="preserve">
Depends on debt schedule. As you might not have projections for CF statement/BS for such a simple model, some items e.g. interest expense can be assumed to stay constant i.e. no projections.</t>
        </r>
      </text>
    </comment>
    <comment ref="A55" authorId="0" shapeId="0" xr:uid="{B644BE8F-5D22-4D3C-86E6-DE1766D6FF5E}">
      <text>
        <r>
          <rPr>
            <b/>
            <sz val="9"/>
            <color indexed="81"/>
            <rFont val="Tahoma"/>
            <family val="2"/>
          </rPr>
          <t>DELL:</t>
        </r>
        <r>
          <rPr>
            <sz val="9"/>
            <color indexed="81"/>
            <rFont val="Tahoma"/>
            <family val="2"/>
          </rPr>
          <t xml:space="preserve">
EBT usually not very important, aside from using it to calculate tax rate.</t>
        </r>
      </text>
    </comment>
    <comment ref="K56" authorId="0" shapeId="0" xr:uid="{DF52D45A-719D-481A-AABB-CBAC1D7F9E73}">
      <text>
        <r>
          <rPr>
            <b/>
            <sz val="9"/>
            <color indexed="81"/>
            <rFont val="Tahoma"/>
            <family val="2"/>
          </rPr>
          <t>DELL:</t>
        </r>
        <r>
          <rPr>
            <sz val="9"/>
            <color indexed="81"/>
            <rFont val="Tahoma"/>
            <family val="2"/>
          </rPr>
          <t xml:space="preserve">
Usually tax rates will not change much so simple average would do. However, in cases where for e.g. your recommendation covers geographical expansion and these are the countries where there are lots of tax benefits (e.g. US in Trump era) you may modify your tax rate to increase/decrease accordingly. Use proxy from other company/reports from the countries concerned.</t>
        </r>
      </text>
    </comment>
  </commentList>
</comments>
</file>

<file path=xl/sharedStrings.xml><?xml version="1.0" encoding="utf-8"?>
<sst xmlns="http://schemas.openxmlformats.org/spreadsheetml/2006/main" count="353" uniqueCount="139">
  <si>
    <t>Revenue</t>
  </si>
  <si>
    <t>COGS</t>
  </si>
  <si>
    <t>Gross Profit</t>
  </si>
  <si>
    <t>D&amp;A</t>
  </si>
  <si>
    <t>EBIT</t>
  </si>
  <si>
    <t>EBITDA</t>
  </si>
  <si>
    <t>Interest Expense</t>
  </si>
  <si>
    <t>Tax Expense</t>
  </si>
  <si>
    <t>Net Income</t>
  </si>
  <si>
    <t>% growth</t>
  </si>
  <si>
    <t>2012A</t>
  </si>
  <si>
    <t>2013A</t>
  </si>
  <si>
    <t>2014A</t>
  </si>
  <si>
    <t>2015E</t>
  </si>
  <si>
    <t>2016E</t>
  </si>
  <si>
    <t>2017E</t>
  </si>
  <si>
    <t>EBT</t>
  </si>
  <si>
    <t>% of Revenue</t>
  </si>
  <si>
    <t>Assumptions</t>
  </si>
  <si>
    <t>% of EBT</t>
  </si>
  <si>
    <t>Singapore</t>
  </si>
  <si>
    <t>% share</t>
  </si>
  <si>
    <t>Indonesia</t>
  </si>
  <si>
    <t>Total Revenue</t>
  </si>
  <si>
    <t>Country Revenue</t>
  </si>
  <si>
    <t>Source/Assumption</t>
  </si>
  <si>
    <t>Euromonitor</t>
  </si>
  <si>
    <t>Number of People</t>
  </si>
  <si>
    <t>Unit Price</t>
  </si>
  <si>
    <t>20% growth yoy</t>
  </si>
  <si>
    <t>10% growth yoy</t>
  </si>
  <si>
    <t>Marketing</t>
  </si>
  <si>
    <t>Selling Expenses</t>
  </si>
  <si>
    <t>1000 people in first year</t>
  </si>
  <si>
    <t>Entry price set at $10</t>
  </si>
  <si>
    <t>Initial budget at 2000</t>
  </si>
  <si>
    <t>Stable at 30% for the first 2 years, then cost efficiency by third year to 25%</t>
  </si>
  <si>
    <t>Initial budget at 200</t>
  </si>
  <si>
    <t>OPEX</t>
  </si>
  <si>
    <t>% of revenue; simple average from 2012A-2014A</t>
  </si>
  <si>
    <t>y-o-y growth; 2Y moving average</t>
  </si>
  <si>
    <t>Assume 2014A level stays constant</t>
  </si>
  <si>
    <t>% of EBT; simple average from 2012A-2014A</t>
  </si>
  <si>
    <t>Non-COGS Operating Expenses</t>
  </si>
  <si>
    <t>% y-o-y growth</t>
  </si>
  <si>
    <t>% of revenue</t>
  </si>
  <si>
    <t>2018E</t>
  </si>
  <si>
    <t>2019E</t>
  </si>
  <si>
    <t>0.50 p.p. decrease y-o-y due to management estimate of cost efficiency measures</t>
  </si>
  <si>
    <t>0.50 p.p. increase y-o-y due to increasing wages in the operating country</t>
  </si>
  <si>
    <t>Non-COGS OPEX 1 (e.g. Utilities)</t>
  </si>
  <si>
    <t>Non-COGS OPEX 2 (e.g. Admin Salary)</t>
  </si>
  <si>
    <t>% of revenue; 0.50 p.p. decrease y-o-y due to management estimate.</t>
  </si>
  <si>
    <t>y-o-y growth; 0.50 p.p. increase y-o-y due to increasing wages in the operating country</t>
  </si>
  <si>
    <t>y-o-y growth; assume 2014A level stays constant</t>
  </si>
  <si>
    <t>CAGR</t>
  </si>
  <si>
    <t>Assume CAGR from 2012-2014 is maintained at 9.54%</t>
  </si>
  <si>
    <t>Assume CAGR from 2012-2014 at 6.46% will drop to 5% for the next 5 years as efficiency measures kick in</t>
  </si>
  <si>
    <t>Assume CAGR from 2012-2014 at 6.46% will rise to 7% for the next 5 years as wages increase</t>
  </si>
  <si>
    <t>Assume there will be gradual decrease of interest rate at 1% CAGR</t>
  </si>
  <si>
    <t>Assume average tax rate as % of EBT from 2012A-2014A stays constant</t>
  </si>
  <si>
    <t>Assume COGS will grow in line with revenue at 9.54% CAGR</t>
  </si>
  <si>
    <t>Industry 2 (New Market)</t>
  </si>
  <si>
    <t>Industry 1</t>
  </si>
  <si>
    <t>Product 1 in Industry 1</t>
  </si>
  <si>
    <t>Market entry (initial 0% share); rise 0.15% annually because DVM's market entry strategy is good</t>
  </si>
  <si>
    <t>Not covered by recommendation; grow at same rate as revenue growth BAU (for e.g. this is linked to BAU Model 1 revenue growth % y-o-y)</t>
  </si>
  <si>
    <t>Market entry (initial 0% share); rise 0.30% annually because DVM's market entry strategy is good and there is fewer quality competitors compared to Singapore</t>
  </si>
  <si>
    <t>Linked to BAU Revenue from BAU Model 1.</t>
  </si>
  <si>
    <t>Figures in USD millions unless otherwise stated</t>
  </si>
  <si>
    <t>Income Statement</t>
  </si>
  <si>
    <r>
      <rPr>
        <b/>
        <sz val="9"/>
        <color theme="1"/>
        <rFont val="Arial"/>
        <family val="2"/>
      </rPr>
      <t>Notes:</t>
    </r>
    <r>
      <rPr>
        <sz val="9"/>
        <color theme="1"/>
        <rFont val="Arial"/>
        <family val="2"/>
      </rPr>
      <t xml:space="preserve">
- Figures + assumptions are separated (either 2 different sheets or just separated within the sheet itself.
- You can use this format if there are too many line items that Model 1 presentation becomes ugly and/or if it's not very meaningful to show y-o-y changes and margins directly.
- When using this model, it is important to link the numbers at the assumption sheet and the main financial sheet carefully as chances of typo becomes bigger when you separate the two sheets. 
- 1 tip to overcome this is to ensure that they follow the same structure (e.g. if financial sheet has Revenue, COGS, Gross Profit, then in the assumption don't jump steps and put Revenue, COGS, then Non-COGS Operating Expenses)</t>
    </r>
  </si>
  <si>
    <r>
      <rPr>
        <b/>
        <sz val="9"/>
        <color theme="1"/>
        <rFont val="Arial"/>
        <family val="2"/>
      </rPr>
      <t>Notes:</t>
    </r>
    <r>
      <rPr>
        <sz val="9"/>
        <color theme="1"/>
        <rFont val="Arial"/>
        <family val="2"/>
      </rPr>
      <t xml:space="preserve">
- Figures + assumptions are spead in the same sheet.
- You can use this format if there are not many line items to be shown. ('Line item' = Revenue, COGS, etc., basically the things you see on the 'vertical' axis.)</t>
    </r>
  </si>
  <si>
    <t>Total Revenue (BAU)</t>
  </si>
  <si>
    <t>Incremental Revenue from Recommendation</t>
  </si>
  <si>
    <t>Total Revenue (with Recommendation)</t>
  </si>
  <si>
    <t>Market penetration; share rises 0.20% annually because Jive's strategy to improve product and marketing is effective</t>
  </si>
  <si>
    <t>Note: for market penetration, make sure that the overall growth (due to increase in share) is faster than the company's BAU growth</t>
  </si>
  <si>
    <t>Product 1 in Industry 1 (Rec 1)</t>
  </si>
  <si>
    <t>Product 2 in Industry 2 (New Product; Rec 2)</t>
  </si>
  <si>
    <t>Product 2 in Industry 2 (New Product; Rec 3)</t>
  </si>
  <si>
    <t>Revenue Assumptions</t>
  </si>
  <si>
    <t>% of incremental revenue</t>
  </si>
  <si>
    <t>Commission</t>
  </si>
  <si>
    <t>Rental</t>
  </si>
  <si>
    <t>Utilities</t>
  </si>
  <si>
    <t>Legal Costs</t>
  </si>
  <si>
    <t>Partnership Costs</t>
  </si>
  <si>
    <t>Incremental COGS from Rec.</t>
  </si>
  <si>
    <t>Incremental Non-COGS Operating Expenses from Rec.</t>
  </si>
  <si>
    <t>Factory Building</t>
  </si>
  <si>
    <t>IP Right</t>
  </si>
  <si>
    <t>Total Capitalised Upfront Costs</t>
  </si>
  <si>
    <t>% of total capitalised upfront costs</t>
  </si>
  <si>
    <t>Incremental D&amp;A from Rec.</t>
  </si>
  <si>
    <t>Non-Capitalised Upfront Costs:</t>
  </si>
  <si>
    <t>% of growth</t>
  </si>
  <si>
    <t>Capitalised Upfront Costs:</t>
  </si>
  <si>
    <t>Cost Breakdown (incurred to generate incremental revenue)</t>
  </si>
  <si>
    <t>New product has lower COGS of 30% (based on peer-benchmark) as it is more cost-effective. COGS as % of revenue decrease 1 p.p. y-o-y due to efficiency arrived from experience + scale</t>
  </si>
  <si>
    <t xml:space="preserve">Note: by right, since I assumed in this example that the incremental revenue is part-based on existing product (just that there is expansion ) and part from new product, the COGS % must be a weighted-average  of the revenue mix. However I am too lazy. </t>
  </si>
  <si>
    <t>Initial rental 0.5 million, grew in line with inflation of 2% y-o-y</t>
  </si>
  <si>
    <t>Assume 2 million as benchmarked by…</t>
  </si>
  <si>
    <t>Market entry (initial 0% share); rise 1.5% annually because DVM's market entry strategy is good</t>
  </si>
  <si>
    <t>Intensive marketing budget 30 million for first 2 years; decline 10% y-o-y as market penetrated</t>
  </si>
  <si>
    <t>Initial rental 5 million, grew in line with inflation of 2% y-o-y</t>
  </si>
  <si>
    <t>Assume 3 million as benchmarked by…</t>
  </si>
  <si>
    <t>Assume 4 million as benchmarked by…</t>
  </si>
  <si>
    <t>Assume average 7.5% sales commission per new product; constant over projection period</t>
  </si>
  <si>
    <t>Incremental EBIT</t>
  </si>
  <si>
    <t>Incremental EBIT from Rec.</t>
  </si>
  <si>
    <t xml:space="preserve">EBIT </t>
  </si>
  <si>
    <t>Note: this does not go into your income statement</t>
  </si>
  <si>
    <r>
      <rPr>
        <b/>
        <sz val="9"/>
        <color theme="1"/>
        <rFont val="Arial"/>
        <family val="2"/>
      </rPr>
      <t>Notes:</t>
    </r>
    <r>
      <rPr>
        <sz val="9"/>
        <color theme="1"/>
        <rFont val="Arial"/>
        <family val="2"/>
      </rPr>
      <t xml:space="preserve">
- So, personally, I don't like to mix my BAU with Revenue/Costs from Rec. Instead, I create a separate sheet and later on, I only add the key incremental figures to the original BAU model (e.g. Incremental Revenue, Incremental COGS, and Incremental Non-COGS OPEX)
- Why? 2 reasons: the original BAU model is a 'high level' model and should only contain distilled, key figures, while the second reason is that isolating the entire Revenue/Cost implication of your recommendation makes it easier for you to create graphs to show incremental changes.
- I generally prefer Top Down to Bottom Up approach; reason is for most cases you can probably find market size and proxy your company's shares. Second reason is because sometimes within a particular market there are too many variables you need to consider (e.g. no. of stores, frequency of buying, average price, etc. etc.) that I think it is quicker - especially for mature companies in mature industry - to use Top Down.
- Once you are done with this REC Model, you combine it with the Original BAU Model (next sheet)
- Take note that, some UPFRONT investments are capitalised (e.g. factory - see my cost breakdown) and will NOT go through your final Income Statement! Instead, these new investments will add only to the D&amp;A.</t>
    </r>
  </si>
  <si>
    <r>
      <rPr>
        <b/>
        <sz val="9"/>
        <color theme="1"/>
        <rFont val="Arial"/>
        <family val="2"/>
      </rPr>
      <t>Notes:</t>
    </r>
    <r>
      <rPr>
        <sz val="9"/>
        <color theme="1"/>
        <rFont val="Arial"/>
        <family val="2"/>
      </rPr>
      <t xml:space="preserve">
- Figures only with the only assumption being growth assumptions, which are based on CAGR (except Tax)
- Assumption is that key line item will grow by the same rate for the next 5 years (that is, based on the CAGR).
- You can use this format if you don't have enough time and/or it is not very meaningful to show y-o-y changes and margins. Can be used to very easily manipulate numbers when quick and dirty is needed (e.g. 30 mins left before submission).
- How to manipulate? More CAGR = faster growth. Low CAGR = slow growth. Negative CAGR = decline. CAGR Formula = [(Figure at end)/(Figure at beginning)^(1/No of Years)] -1
- When calculating CAGR, count the number of years properly. For e.g. CAGR from 2012 to 2014 CAGR is 2 years, not 3 (although you have 2012A, 2013A and 2014A). This is because your figure from 2012A is your 'Figure at beginning'
- Simple way to remember is to just deduct the end year with beginning year (2014-2012 = 2)</t>
    </r>
  </si>
  <si>
    <t>Assume 10 year straight line depreciation (i.e. 10% y-o-y)</t>
  </si>
  <si>
    <t>Market entry (initial 0% share); exponential growth (double each year) because WKG's market entry strategy is good and there is fewer quality competitors compared to Singapore</t>
  </si>
  <si>
    <t>Revenue Breakdown (assume you have two countries, and two products in each country)</t>
  </si>
  <si>
    <t>Revenue (BAU)</t>
  </si>
  <si>
    <t>COGS (BAU)</t>
  </si>
  <si>
    <t>D&amp;A (BAU)</t>
  </si>
  <si>
    <t>Incremental Revenue (REC)</t>
  </si>
  <si>
    <t>Incremental COGS (REC)</t>
  </si>
  <si>
    <t>Incremental Non-COGS OPEX</t>
  </si>
  <si>
    <t>Incremental D&amp;A</t>
  </si>
  <si>
    <t>Linked to REC Model 2 (Top Down)</t>
  </si>
  <si>
    <t>Update formula</t>
  </si>
  <si>
    <r>
      <rPr>
        <b/>
        <sz val="9"/>
        <color theme="1"/>
        <rFont val="Arial"/>
        <family val="2"/>
      </rPr>
      <t>Notes:</t>
    </r>
    <r>
      <rPr>
        <sz val="9"/>
        <color theme="1"/>
        <rFont val="Arial"/>
        <family val="2"/>
      </rPr>
      <t xml:space="preserve">
- I lazy make, as I said, I personally prefer top-down as it is faster and more intuitive for me. You can ask Eliel how to do bottom up. Basically, identify every single variable that affects your revenue (primarily quantity of people buying * selling price), then the costs are pretty much the same as previous version.</t>
    </r>
  </si>
  <si>
    <t>Why stop at EBIT?</t>
  </si>
  <si>
    <t>Incremental Non-COGS OPEX (REC)</t>
  </si>
  <si>
    <t>Assumptions (feel free to tweak the original BAU-related assumptions if you feel there are certain synergies/cannibalisation that wasn't already included in your REC model)</t>
  </si>
  <si>
    <t>For graphs, put axis label (except when it's years), put axis title</t>
  </si>
  <si>
    <t>You are allowed to skip the 2 d.p. rule as the decimals will clutter the graph</t>
  </si>
  <si>
    <t>Do not put all numbers; just the essentials</t>
  </si>
  <si>
    <t xml:space="preserve">Show EBIT to remove distortion from tax/interest expense and purely evaluate from operational standpoint. </t>
  </si>
  <si>
    <t>Generally, your recommendation will probably make losses for the first 1-2 years before hitting break even point.</t>
  </si>
  <si>
    <t>Total Upfront Investment</t>
  </si>
  <si>
    <t xml:space="preserve">Waterfall chart is a useful tool to breakdown cost. </t>
  </si>
  <si>
    <t>Store Modification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</si>
</sst>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7" x14ac:knownFonts="1">
    <font>
      <sz val="11"/>
      <color theme="1"/>
      <name val="Calibri"/>
      <family val="2"/>
      <scheme val="minor"/>
    </font>
    <font>
      <sz val="11"/>
      <color theme="1"/>
      <name val="Calibri"/>
      <family val="2"/>
      <scheme val="minor"/>
    </font>
    <font>
      <sz val="9"/>
      <color theme="1"/>
      <name val="Arial"/>
      <family val="2"/>
    </font>
    <font>
      <b/>
      <sz val="9"/>
      <color theme="1"/>
      <name val="Arial"/>
      <family val="2"/>
    </font>
    <font>
      <i/>
      <sz val="8"/>
      <color theme="1"/>
      <name val="Arial"/>
      <family val="2"/>
    </font>
    <font>
      <sz val="9"/>
      <color theme="4"/>
      <name val="Arial"/>
      <family val="2"/>
    </font>
    <font>
      <sz val="8"/>
      <color theme="1"/>
      <name val="Arial"/>
      <family val="2"/>
    </font>
    <font>
      <i/>
      <sz val="8"/>
      <color theme="4"/>
      <name val="Arial"/>
      <family val="2"/>
    </font>
    <font>
      <b/>
      <sz val="9"/>
      <color theme="0"/>
      <name val="Arial"/>
      <family val="2"/>
    </font>
    <font>
      <b/>
      <u/>
      <sz val="9"/>
      <color theme="1"/>
      <name val="Arial"/>
      <family val="2"/>
    </font>
    <font>
      <b/>
      <sz val="9"/>
      <color theme="4"/>
      <name val="Arial"/>
      <family val="2"/>
    </font>
    <font>
      <b/>
      <sz val="8"/>
      <color theme="1"/>
      <name val="Arial"/>
      <family val="2"/>
    </font>
    <font>
      <sz val="9"/>
      <color indexed="81"/>
      <name val="Tahoma"/>
      <family val="2"/>
    </font>
    <font>
      <b/>
      <sz val="9"/>
      <color indexed="81"/>
      <name val="Tahoma"/>
      <family val="2"/>
    </font>
    <font>
      <sz val="9"/>
      <color rgb="FF00B050"/>
      <name val="Arial"/>
      <family val="2"/>
    </font>
    <font>
      <b/>
      <i/>
      <sz val="8"/>
      <color theme="1"/>
      <name val="Arial"/>
      <family val="2"/>
    </font>
    <font>
      <sz val="8"/>
      <color rgb="FFFF0000"/>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rgb="FF00206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double">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0" fontId="2" fillId="0" borderId="0" xfId="0" applyFont="1" applyAlignment="1">
      <alignment horizontal="left" indent="1"/>
    </xf>
    <xf numFmtId="0" fontId="4" fillId="0" borderId="0" xfId="0" applyFont="1"/>
    <xf numFmtId="164" fontId="2" fillId="0" borderId="0" xfId="1" applyFont="1"/>
    <xf numFmtId="164" fontId="3" fillId="0" borderId="0" xfId="1" applyFont="1"/>
    <xf numFmtId="164" fontId="5" fillId="0" borderId="0" xfId="1" applyFont="1"/>
    <xf numFmtId="164" fontId="4" fillId="0" borderId="0" xfId="1" applyFont="1" applyAlignment="1">
      <alignment horizontal="left" indent="1"/>
    </xf>
    <xf numFmtId="164" fontId="4" fillId="0" borderId="0" xfId="1" applyFont="1"/>
    <xf numFmtId="164" fontId="6" fillId="0" borderId="0" xfId="1" applyFont="1"/>
    <xf numFmtId="10" fontId="4" fillId="0" borderId="0" xfId="2" applyNumberFormat="1" applyFont="1"/>
    <xf numFmtId="10" fontId="7" fillId="2" borderId="1" xfId="2" applyNumberFormat="1" applyFont="1" applyFill="1" applyBorder="1"/>
    <xf numFmtId="10" fontId="4" fillId="0" borderId="0" xfId="2" applyNumberFormat="1" applyFont="1" applyAlignment="1">
      <alignment horizontal="left" indent="1"/>
    </xf>
    <xf numFmtId="10" fontId="6" fillId="0" borderId="0" xfId="2" applyNumberFormat="1" applyFont="1"/>
    <xf numFmtId="164" fontId="8" fillId="3" borderId="0" xfId="1" applyFont="1" applyFill="1" applyAlignment="1">
      <alignment horizontal="right"/>
    </xf>
    <xf numFmtId="164" fontId="2" fillId="0" borderId="2" xfId="1" applyFont="1" applyBorder="1"/>
    <xf numFmtId="0" fontId="2" fillId="0" borderId="0" xfId="0" applyFont="1" applyAlignment="1">
      <alignment horizontal="left" indent="2"/>
    </xf>
    <xf numFmtId="0" fontId="9" fillId="0" borderId="0" xfId="0" applyFont="1"/>
    <xf numFmtId="0" fontId="4" fillId="0" borderId="0" xfId="0" applyFont="1" applyAlignment="1">
      <alignment horizontal="left" indent="2"/>
    </xf>
    <xf numFmtId="10" fontId="7" fillId="2" borderId="1" xfId="0" applyNumberFormat="1" applyFont="1" applyFill="1" applyBorder="1"/>
    <xf numFmtId="164" fontId="10" fillId="0" borderId="2" xfId="1" applyFont="1" applyBorder="1"/>
    <xf numFmtId="164" fontId="3" fillId="0" borderId="2" xfId="1" applyFont="1" applyBorder="1"/>
    <xf numFmtId="164" fontId="11" fillId="0" borderId="0" xfId="1" applyFont="1"/>
    <xf numFmtId="164" fontId="2" fillId="0" borderId="0" xfId="1" applyFont="1" applyBorder="1"/>
    <xf numFmtId="164" fontId="8" fillId="0" borderId="0" xfId="1" applyFont="1" applyFill="1" applyAlignment="1">
      <alignment horizontal="right"/>
    </xf>
    <xf numFmtId="164" fontId="2" fillId="0" borderId="0" xfId="1" applyFont="1" applyFill="1"/>
    <xf numFmtId="10" fontId="7" fillId="0" borderId="0" xfId="2" applyNumberFormat="1" applyFont="1" applyFill="1" applyBorder="1"/>
    <xf numFmtId="164" fontId="2" fillId="0" borderId="0" xfId="1" applyFont="1" applyFill="1" applyBorder="1"/>
    <xf numFmtId="10" fontId="4" fillId="0" borderId="0" xfId="2" applyNumberFormat="1" applyFont="1" applyFill="1"/>
    <xf numFmtId="164" fontId="2" fillId="5" borderId="6" xfId="1" applyFont="1" applyFill="1" applyBorder="1"/>
    <xf numFmtId="164" fontId="14" fillId="0" borderId="0" xfId="1" applyFont="1"/>
    <xf numFmtId="164" fontId="4" fillId="0" borderId="0" xfId="1" applyFont="1" applyAlignment="1">
      <alignment horizontal="left"/>
    </xf>
    <xf numFmtId="164" fontId="6" fillId="5" borderId="6" xfId="1" applyFont="1" applyFill="1" applyBorder="1"/>
    <xf numFmtId="164" fontId="3" fillId="5" borderId="6" xfId="1" applyFont="1" applyFill="1" applyBorder="1"/>
    <xf numFmtId="164" fontId="4" fillId="0" borderId="0" xfId="1" applyFont="1" applyAlignment="1">
      <alignment horizontal="left" indent="3"/>
    </xf>
    <xf numFmtId="0" fontId="3" fillId="0" borderId="0" xfId="0" applyFont="1" applyAlignment="1">
      <alignment horizontal="left" indent="1"/>
    </xf>
    <xf numFmtId="164" fontId="2" fillId="0" borderId="4" xfId="1" applyFont="1" applyBorder="1"/>
    <xf numFmtId="0" fontId="3" fillId="6" borderId="0" xfId="0" applyFont="1" applyFill="1"/>
    <xf numFmtId="164" fontId="2" fillId="6" borderId="0" xfId="1" applyFont="1" applyFill="1"/>
    <xf numFmtId="10" fontId="7" fillId="0" borderId="0" xfId="0" applyNumberFormat="1" applyFont="1"/>
    <xf numFmtId="10" fontId="4" fillId="0" borderId="0" xfId="2" applyNumberFormat="1" applyFont="1" applyFill="1" applyBorder="1"/>
    <xf numFmtId="0" fontId="4" fillId="0" borderId="0" xfId="0" applyFont="1" applyAlignment="1">
      <alignment horizontal="left" indent="3"/>
    </xf>
    <xf numFmtId="0" fontId="2" fillId="0" borderId="0" xfId="0" applyFont="1" applyAlignment="1">
      <alignment horizontal="left" indent="4"/>
    </xf>
    <xf numFmtId="164" fontId="2" fillId="0" borderId="7" xfId="1" applyFont="1" applyBorder="1"/>
    <xf numFmtId="0" fontId="6" fillId="0" borderId="0" xfId="0" applyFont="1"/>
    <xf numFmtId="2" fontId="2" fillId="0" borderId="0" xfId="0" applyNumberFormat="1" applyFont="1"/>
    <xf numFmtId="0" fontId="11" fillId="0" borderId="0" xfId="0" applyFont="1"/>
    <xf numFmtId="164" fontId="6" fillId="0" borderId="0" xfId="1" applyFont="1" applyFill="1" applyBorder="1"/>
    <xf numFmtId="0" fontId="15" fillId="0" borderId="0" xfId="0" applyFont="1"/>
    <xf numFmtId="2" fontId="3" fillId="0" borderId="0" xfId="0" applyNumberFormat="1" applyFont="1"/>
    <xf numFmtId="164" fontId="3" fillId="0" borderId="0" xfId="0" applyNumberFormat="1" applyFont="1"/>
    <xf numFmtId="0" fontId="3" fillId="0" borderId="0" xfId="0" applyFont="1" applyAlignment="1">
      <alignment horizontal="left"/>
    </xf>
    <xf numFmtId="10" fontId="15" fillId="0" borderId="0" xfId="2" applyNumberFormat="1" applyFont="1" applyFill="1"/>
    <xf numFmtId="0" fontId="16" fillId="0" borderId="0" xfId="0" applyFont="1"/>
    <xf numFmtId="0" fontId="2" fillId="5" borderId="6" xfId="0" applyFont="1" applyFill="1" applyBorder="1"/>
    <xf numFmtId="0" fontId="6" fillId="5" borderId="6" xfId="0" applyFont="1" applyFill="1" applyBorder="1"/>
    <xf numFmtId="164" fontId="4" fillId="0" borderId="0" xfId="1" applyFont="1" applyFill="1"/>
    <xf numFmtId="164" fontId="3" fillId="0" borderId="0" xfId="1" applyFont="1" applyFill="1" applyBorder="1"/>
    <xf numFmtId="164" fontId="4" fillId="0" borderId="0" xfId="1" applyFont="1" applyFill="1" applyBorder="1" applyAlignment="1">
      <alignment horizontal="left"/>
    </xf>
    <xf numFmtId="164" fontId="8" fillId="0" borderId="0" xfId="1" applyFont="1" applyFill="1" applyBorder="1" applyAlignment="1">
      <alignment horizontal="right"/>
    </xf>
    <xf numFmtId="164" fontId="5" fillId="0" borderId="0" xfId="1" applyFont="1" applyFill="1" applyBorder="1"/>
    <xf numFmtId="164" fontId="14" fillId="0" borderId="0" xfId="1" applyFont="1" applyFill="1" applyBorder="1"/>
    <xf numFmtId="164" fontId="11" fillId="0" borderId="0" xfId="1" applyFont="1" applyFill="1" applyBorder="1"/>
    <xf numFmtId="164" fontId="4" fillId="0" borderId="0" xfId="1" applyFont="1" applyFill="1" applyBorder="1"/>
    <xf numFmtId="10" fontId="6" fillId="0" borderId="0" xfId="2" applyNumberFormat="1" applyFont="1" applyFill="1" applyBorder="1"/>
    <xf numFmtId="0" fontId="2" fillId="4" borderId="3" xfId="1" applyNumberFormat="1" applyFont="1" applyFill="1" applyBorder="1" applyAlignment="1">
      <alignment horizontal="left" vertical="top" wrapText="1"/>
    </xf>
    <xf numFmtId="0" fontId="2" fillId="4" borderId="4" xfId="1" applyNumberFormat="1" applyFont="1" applyFill="1" applyBorder="1" applyAlignment="1">
      <alignment horizontal="left" vertical="top" wrapText="1"/>
    </xf>
    <xf numFmtId="0" fontId="2" fillId="4" borderId="5" xfId="1" applyNumberFormat="1" applyFont="1" applyFill="1" applyBorder="1" applyAlignment="1">
      <alignment horizontal="left" vertical="top" wrapText="1"/>
    </xf>
    <xf numFmtId="164" fontId="3" fillId="5" borderId="6" xfId="1" applyFont="1" applyFill="1" applyBorder="1" applyAlignment="1">
      <alignment horizontal="left"/>
    </xf>
    <xf numFmtId="0" fontId="2" fillId="4" borderId="1" xfId="1" applyNumberFormat="1" applyFont="1" applyFill="1" applyBorder="1" applyAlignment="1">
      <alignment horizontal="left" vertical="top" wrapText="1"/>
    </xf>
    <xf numFmtId="0" fontId="2" fillId="0" borderId="0" xfId="1" applyNumberFormat="1" applyFont="1" applyFill="1" applyBorder="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SG" b="1"/>
              <a:t>Revenue (with</a:t>
            </a:r>
            <a:r>
              <a:rPr lang="en-SG" b="1" baseline="0"/>
              <a:t> Recommendations)</a:t>
            </a:r>
            <a:endParaRPr lang="en-SG" b="1"/>
          </a:p>
        </c:rich>
      </c:tx>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'MERGE v.1'!$A$8</c:f>
              <c:strCache>
                <c:ptCount val="1"/>
                <c:pt idx="0">
                  <c:v> Revenue (BAU) </c:v>
                </c:pt>
              </c:strCache>
            </c:strRef>
          </c:tx>
          <c:spPr>
            <a:solidFill>
              <a:srgbClr val="002060"/>
            </a:solidFill>
            <a:ln>
              <a:noFill/>
            </a:ln>
            <a:effectLst/>
          </c:spPr>
          <c:invertIfNegative val="0"/>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3456-4527-9201-2BBF7EF69ECD}"/>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4-3456-4527-9201-2BBF7EF69ECD}"/>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5-3456-4527-9201-2BBF7EF69ECD}"/>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6-3456-4527-9201-2BBF7EF69ECD}"/>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8-3456-4527-9201-2BBF7EF69ECD}"/>
              </c:ext>
            </c:extLst>
          </c:dPt>
          <c:dLbls>
            <c:dLbl>
              <c:idx val="1"/>
              <c:delete val="1"/>
              <c:extLst>
                <c:ext xmlns:c15="http://schemas.microsoft.com/office/drawing/2012/chart" uri="{CE6537A1-D6FC-4f65-9D91-7224C49458BB}"/>
                <c:ext xmlns:c16="http://schemas.microsoft.com/office/drawing/2014/chart" uri="{C3380CC4-5D6E-409C-BE32-E72D297353CC}">
                  <c16:uniqueId val="{00000002-3456-4527-9201-2BBF7EF69ECD}"/>
                </c:ext>
              </c:extLst>
            </c:dLbl>
            <c:dLbl>
              <c:idx val="2"/>
              <c:delete val="1"/>
              <c:extLst>
                <c:ext xmlns:c15="http://schemas.microsoft.com/office/drawing/2012/chart" uri="{CE6537A1-D6FC-4f65-9D91-7224C49458BB}"/>
                <c:ext xmlns:c16="http://schemas.microsoft.com/office/drawing/2014/chart" uri="{C3380CC4-5D6E-409C-BE32-E72D297353CC}">
                  <c16:uniqueId val="{00000003-3456-4527-9201-2BBF7EF69ECD}"/>
                </c:ext>
              </c:extLst>
            </c:dLbl>
            <c:dLbl>
              <c:idx val="4"/>
              <c:delete val="1"/>
              <c:extLst>
                <c:ext xmlns:c15="http://schemas.microsoft.com/office/drawing/2012/chart" uri="{CE6537A1-D6FC-4f65-9D91-7224C49458BB}"/>
                <c:ext xmlns:c16="http://schemas.microsoft.com/office/drawing/2014/chart" uri="{C3380CC4-5D6E-409C-BE32-E72D297353CC}">
                  <c16:uniqueId val="{00000004-3456-4527-9201-2BBF7EF69ECD}"/>
                </c:ext>
              </c:extLst>
            </c:dLbl>
            <c:dLbl>
              <c:idx val="5"/>
              <c:delete val="1"/>
              <c:extLst>
                <c:ext xmlns:c15="http://schemas.microsoft.com/office/drawing/2012/chart" uri="{CE6537A1-D6FC-4f65-9D91-7224C49458BB}"/>
                <c:ext xmlns:c16="http://schemas.microsoft.com/office/drawing/2014/chart" uri="{C3380CC4-5D6E-409C-BE32-E72D297353CC}">
                  <c16:uniqueId val="{00000005-3456-4527-9201-2BBF7EF69ECD}"/>
                </c:ext>
              </c:extLst>
            </c:dLbl>
            <c:dLbl>
              <c:idx val="6"/>
              <c:delete val="1"/>
              <c:extLst>
                <c:ext xmlns:c15="http://schemas.microsoft.com/office/drawing/2012/chart" uri="{CE6537A1-D6FC-4f65-9D91-7224C49458BB}"/>
                <c:ext xmlns:c16="http://schemas.microsoft.com/office/drawing/2014/chart" uri="{C3380CC4-5D6E-409C-BE32-E72D297353CC}">
                  <c16:uniqueId val="{00000006-3456-4527-9201-2BBF7EF69EC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 v.1'!$B$6:$I$6</c:f>
              <c:strCache>
                <c:ptCount val="8"/>
                <c:pt idx="0">
                  <c:v> 2012A </c:v>
                </c:pt>
                <c:pt idx="1">
                  <c:v> 2013A </c:v>
                </c:pt>
                <c:pt idx="2">
                  <c:v> 2014A </c:v>
                </c:pt>
                <c:pt idx="3">
                  <c:v> 2015E </c:v>
                </c:pt>
                <c:pt idx="4">
                  <c:v> 2016E </c:v>
                </c:pt>
                <c:pt idx="5">
                  <c:v> 2017E </c:v>
                </c:pt>
                <c:pt idx="6">
                  <c:v> 2018E </c:v>
                </c:pt>
                <c:pt idx="7">
                  <c:v> 2019E </c:v>
                </c:pt>
              </c:strCache>
            </c:strRef>
          </c:cat>
          <c:val>
            <c:numRef>
              <c:f>'MERGE v.1'!$B$8:$I$8</c:f>
              <c:numCache>
                <c:formatCode>_(* #,##0.00_);_(* \(#,##0.00\);_(* "-"??_);_(@_)</c:formatCode>
                <c:ptCount val="8"/>
                <c:pt idx="0">
                  <c:v>1000</c:v>
                </c:pt>
                <c:pt idx="1">
                  <c:v>1100</c:v>
                </c:pt>
                <c:pt idx="2">
                  <c:v>1200</c:v>
                </c:pt>
                <c:pt idx="3">
                  <c:v>1314.5454545454545</c:v>
                </c:pt>
                <c:pt idx="4">
                  <c:v>1437.0371900826447</c:v>
                </c:pt>
                <c:pt idx="5">
                  <c:v>1572.5759250563485</c:v>
                </c:pt>
                <c:pt idx="6">
                  <c:v>1720.0049180303813</c:v>
                </c:pt>
                <c:pt idx="7">
                  <c:v>1881.7440168565336</c:v>
                </c:pt>
              </c:numCache>
            </c:numRef>
          </c:val>
          <c:extLst>
            <c:ext xmlns:c16="http://schemas.microsoft.com/office/drawing/2014/chart" uri="{C3380CC4-5D6E-409C-BE32-E72D297353CC}">
              <c16:uniqueId val="{00000000-3456-4527-9201-2BBF7EF69ECD}"/>
            </c:ext>
          </c:extLst>
        </c:ser>
        <c:ser>
          <c:idx val="1"/>
          <c:order val="1"/>
          <c:tx>
            <c:strRef>
              <c:f>'MERGE v.1'!$A$9</c:f>
              <c:strCache>
                <c:ptCount val="1"/>
                <c:pt idx="0">
                  <c:v> Incremental Revenue (REC) </c:v>
                </c:pt>
              </c:strCache>
            </c:strRef>
          </c:tx>
          <c:spPr>
            <a:solidFill>
              <a:schemeClr val="accent4">
                <a:lumMod val="60000"/>
                <a:lumOff val="4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 v.1'!$B$6:$I$6</c:f>
              <c:strCache>
                <c:ptCount val="8"/>
                <c:pt idx="0">
                  <c:v> 2012A </c:v>
                </c:pt>
                <c:pt idx="1">
                  <c:v> 2013A </c:v>
                </c:pt>
                <c:pt idx="2">
                  <c:v> 2014A </c:v>
                </c:pt>
                <c:pt idx="3">
                  <c:v> 2015E </c:v>
                </c:pt>
                <c:pt idx="4">
                  <c:v> 2016E </c:v>
                </c:pt>
                <c:pt idx="5">
                  <c:v> 2017E </c:v>
                </c:pt>
                <c:pt idx="6">
                  <c:v> 2018E </c:v>
                </c:pt>
                <c:pt idx="7">
                  <c:v> 2019E </c:v>
                </c:pt>
              </c:strCache>
            </c:strRef>
          </c:cat>
          <c:val>
            <c:numRef>
              <c:f>'MERGE v.1'!$B$9:$I$9</c:f>
              <c:numCache>
                <c:formatCode>_(* #,##0.00_);_(* \(#,##0.00\);_(* "-"??_);_(@_)</c:formatCode>
                <c:ptCount val="8"/>
                <c:pt idx="3">
                  <c:v>114.34691252144103</c:v>
                </c:pt>
                <c:pt idx="4">
                  <c:v>235.55849446436946</c:v>
                </c:pt>
                <c:pt idx="5">
                  <c:v>366.55932673599818</c:v>
                </c:pt>
                <c:pt idx="6">
                  <c:v>514.72417517410167</c:v>
                </c:pt>
                <c:pt idx="7">
                  <c:v>696.19146186513535</c:v>
                </c:pt>
              </c:numCache>
            </c:numRef>
          </c:val>
          <c:extLst>
            <c:ext xmlns:c16="http://schemas.microsoft.com/office/drawing/2014/chart" uri="{C3380CC4-5D6E-409C-BE32-E72D297353CC}">
              <c16:uniqueId val="{00000001-3456-4527-9201-2BBF7EF69ECD}"/>
            </c:ext>
          </c:extLst>
        </c:ser>
        <c:dLbls>
          <c:showLegendKey val="0"/>
          <c:showVal val="0"/>
          <c:showCatName val="0"/>
          <c:showSerName val="0"/>
          <c:showPercent val="0"/>
          <c:showBubbleSize val="0"/>
        </c:dLbls>
        <c:gapWidth val="78"/>
        <c:overlap val="100"/>
        <c:axId val="724465384"/>
        <c:axId val="724467680"/>
      </c:barChart>
      <c:catAx>
        <c:axId val="724465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24467680"/>
        <c:crosses val="autoZero"/>
        <c:auto val="1"/>
        <c:lblAlgn val="ctr"/>
        <c:lblOffset val="100"/>
        <c:noMultiLvlLbl val="0"/>
      </c:catAx>
      <c:valAx>
        <c:axId val="7244676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SG"/>
                  <a:t>Revenue (in USD millions)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24465384"/>
        <c:crosses val="autoZero"/>
        <c:crossBetween val="between"/>
      </c:valAx>
      <c:spPr>
        <a:noFill/>
        <a:ln>
          <a:noFill/>
        </a:ln>
        <a:effectLst/>
      </c:spPr>
    </c:plotArea>
    <c:legend>
      <c:legendPos val="t"/>
      <c:layout>
        <c:manualLayout>
          <c:xMode val="edge"/>
          <c:yMode val="edge"/>
          <c:x val="0.13748649266255183"/>
          <c:y val="0.19010875377161618"/>
          <c:w val="0.26362363364022873"/>
          <c:h val="0.18456433324001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SG" b="1"/>
              <a:t>Revenue (BAU</a:t>
            </a:r>
            <a:r>
              <a:rPr lang="en-SG" b="1" baseline="0"/>
              <a:t>)</a:t>
            </a:r>
            <a:endParaRPr lang="en-SG" b="1"/>
          </a:p>
        </c:rich>
      </c:tx>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493286292033522"/>
          <c:y val="0.20896128396981256"/>
          <c:w val="0.86437721940835721"/>
          <c:h val="0.70816303043932427"/>
        </c:manualLayout>
      </c:layout>
      <c:barChart>
        <c:barDir val="col"/>
        <c:grouping val="stacked"/>
        <c:varyColors val="0"/>
        <c:ser>
          <c:idx val="0"/>
          <c:order val="0"/>
          <c:tx>
            <c:strRef>
              <c:f>'MERGE v.1'!$A$8</c:f>
              <c:strCache>
                <c:ptCount val="1"/>
                <c:pt idx="0">
                  <c:v> Revenue (BAU) </c:v>
                </c:pt>
              </c:strCache>
            </c:strRef>
          </c:tx>
          <c:spPr>
            <a:solidFill>
              <a:srgbClr val="002060"/>
            </a:solidFill>
            <a:ln>
              <a:noFill/>
            </a:ln>
            <a:effectLst/>
          </c:spPr>
          <c:invertIfNegative val="0"/>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8-C9F3-4120-ACB1-3C9A2275D505}"/>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4-C9F3-4120-ACB1-3C9A2275D505}"/>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5-C9F3-4120-ACB1-3C9A2275D505}"/>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6-C9F3-4120-ACB1-3C9A2275D505}"/>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7-C9F3-4120-ACB1-3C9A2275D505}"/>
              </c:ext>
            </c:extLst>
          </c:dPt>
          <c:dLbls>
            <c:dLbl>
              <c:idx val="1"/>
              <c:delete val="1"/>
              <c:extLst>
                <c:ext xmlns:c15="http://schemas.microsoft.com/office/drawing/2012/chart" uri="{CE6537A1-D6FC-4f65-9D91-7224C49458BB}"/>
                <c:ext xmlns:c16="http://schemas.microsoft.com/office/drawing/2014/chart" uri="{C3380CC4-5D6E-409C-BE32-E72D297353CC}">
                  <c16:uniqueId val="{00000002-C9F3-4120-ACB1-3C9A2275D505}"/>
                </c:ext>
              </c:extLst>
            </c:dLbl>
            <c:dLbl>
              <c:idx val="2"/>
              <c:delete val="1"/>
              <c:extLst>
                <c:ext xmlns:c15="http://schemas.microsoft.com/office/drawing/2012/chart" uri="{CE6537A1-D6FC-4f65-9D91-7224C49458BB}"/>
                <c:ext xmlns:c16="http://schemas.microsoft.com/office/drawing/2014/chart" uri="{C3380CC4-5D6E-409C-BE32-E72D297353CC}">
                  <c16:uniqueId val="{00000003-C9F3-4120-ACB1-3C9A2275D505}"/>
                </c:ext>
              </c:extLst>
            </c:dLbl>
            <c:dLbl>
              <c:idx val="4"/>
              <c:delete val="1"/>
              <c:extLst>
                <c:ext xmlns:c15="http://schemas.microsoft.com/office/drawing/2012/chart" uri="{CE6537A1-D6FC-4f65-9D91-7224C49458BB}"/>
                <c:ext xmlns:c16="http://schemas.microsoft.com/office/drawing/2014/chart" uri="{C3380CC4-5D6E-409C-BE32-E72D297353CC}">
                  <c16:uniqueId val="{00000004-C9F3-4120-ACB1-3C9A2275D505}"/>
                </c:ext>
              </c:extLst>
            </c:dLbl>
            <c:dLbl>
              <c:idx val="5"/>
              <c:delete val="1"/>
              <c:extLst>
                <c:ext xmlns:c15="http://schemas.microsoft.com/office/drawing/2012/chart" uri="{CE6537A1-D6FC-4f65-9D91-7224C49458BB}"/>
                <c:ext xmlns:c16="http://schemas.microsoft.com/office/drawing/2014/chart" uri="{C3380CC4-5D6E-409C-BE32-E72D297353CC}">
                  <c16:uniqueId val="{00000005-C9F3-4120-ACB1-3C9A2275D505}"/>
                </c:ext>
              </c:extLst>
            </c:dLbl>
            <c:dLbl>
              <c:idx val="6"/>
              <c:delete val="1"/>
              <c:extLst>
                <c:ext xmlns:c15="http://schemas.microsoft.com/office/drawing/2012/chart" uri="{CE6537A1-D6FC-4f65-9D91-7224C49458BB}"/>
                <c:ext xmlns:c16="http://schemas.microsoft.com/office/drawing/2014/chart" uri="{C3380CC4-5D6E-409C-BE32-E72D297353CC}">
                  <c16:uniqueId val="{00000006-C9F3-4120-ACB1-3C9A2275D50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 v.1'!$B$6:$I$6</c:f>
              <c:strCache>
                <c:ptCount val="8"/>
                <c:pt idx="0">
                  <c:v> 2012A </c:v>
                </c:pt>
                <c:pt idx="1">
                  <c:v> 2013A </c:v>
                </c:pt>
                <c:pt idx="2">
                  <c:v> 2014A </c:v>
                </c:pt>
                <c:pt idx="3">
                  <c:v> 2015E </c:v>
                </c:pt>
                <c:pt idx="4">
                  <c:v> 2016E </c:v>
                </c:pt>
                <c:pt idx="5">
                  <c:v> 2017E </c:v>
                </c:pt>
                <c:pt idx="6">
                  <c:v> 2018E </c:v>
                </c:pt>
                <c:pt idx="7">
                  <c:v> 2019E </c:v>
                </c:pt>
              </c:strCache>
            </c:strRef>
          </c:cat>
          <c:val>
            <c:numRef>
              <c:f>'MERGE v.1'!$B$8:$I$8</c:f>
              <c:numCache>
                <c:formatCode>_(* #,##0.00_);_(* \(#,##0.00\);_(* "-"??_);_(@_)</c:formatCode>
                <c:ptCount val="8"/>
                <c:pt idx="0">
                  <c:v>1000</c:v>
                </c:pt>
                <c:pt idx="1">
                  <c:v>1100</c:v>
                </c:pt>
                <c:pt idx="2">
                  <c:v>1200</c:v>
                </c:pt>
                <c:pt idx="3">
                  <c:v>1314.5454545454545</c:v>
                </c:pt>
                <c:pt idx="4">
                  <c:v>1437.0371900826447</c:v>
                </c:pt>
                <c:pt idx="5">
                  <c:v>1572.5759250563485</c:v>
                </c:pt>
                <c:pt idx="6">
                  <c:v>1720.0049180303813</c:v>
                </c:pt>
                <c:pt idx="7">
                  <c:v>1881.7440168565336</c:v>
                </c:pt>
              </c:numCache>
            </c:numRef>
          </c:val>
          <c:extLst>
            <c:ext xmlns:c16="http://schemas.microsoft.com/office/drawing/2014/chart" uri="{C3380CC4-5D6E-409C-BE32-E72D297353CC}">
              <c16:uniqueId val="{00000000-C9F3-4120-ACB1-3C9A2275D505}"/>
            </c:ext>
          </c:extLst>
        </c:ser>
        <c:dLbls>
          <c:showLegendKey val="0"/>
          <c:showVal val="0"/>
          <c:showCatName val="0"/>
          <c:showSerName val="0"/>
          <c:showPercent val="0"/>
          <c:showBubbleSize val="0"/>
        </c:dLbls>
        <c:gapWidth val="78"/>
        <c:overlap val="100"/>
        <c:axId val="724465384"/>
        <c:axId val="724467680"/>
      </c:barChart>
      <c:catAx>
        <c:axId val="724465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24467680"/>
        <c:crosses val="autoZero"/>
        <c:auto val="1"/>
        <c:lblAlgn val="ctr"/>
        <c:lblOffset val="100"/>
        <c:noMultiLvlLbl val="0"/>
      </c:catAx>
      <c:valAx>
        <c:axId val="724467680"/>
        <c:scaling>
          <c:orientation val="minMax"/>
          <c:max val="300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SG"/>
                  <a:t>Revenue (in USD millions)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24465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SG" b="1"/>
              <a:t>Incremental</a:t>
            </a:r>
            <a:r>
              <a:rPr lang="en-SG" b="1" baseline="0"/>
              <a:t> EBIT Change with Recommendation</a:t>
            </a:r>
            <a:endParaRPr lang="en-SG" b="1"/>
          </a:p>
        </c:rich>
      </c:tx>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'REC v.1 (Top-Down)'!$A$94</c:f>
              <c:strCache>
                <c:ptCount val="1"/>
                <c:pt idx="0">
                  <c:v>Incremental EBIT from Rec.</c:v>
                </c:pt>
              </c:strCache>
            </c:strRef>
          </c:tx>
          <c:spPr>
            <a:solidFill>
              <a:schemeClr val="accent4">
                <a:lumMod val="60000"/>
                <a:lumOff val="40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B-62D4-45C9-95CE-4DEBE72A576B}"/>
              </c:ext>
            </c:extLst>
          </c:dPt>
          <c:dPt>
            <c:idx val="1"/>
            <c:invertIfNegative val="0"/>
            <c:bubble3D val="0"/>
            <c:spPr>
              <a:solidFill>
                <a:srgbClr val="FF0000"/>
              </a:solidFill>
              <a:ln>
                <a:noFill/>
              </a:ln>
              <a:effectLst/>
            </c:spPr>
            <c:extLst>
              <c:ext xmlns:c16="http://schemas.microsoft.com/office/drawing/2014/chart" uri="{C3380CC4-5D6E-409C-BE32-E72D297353CC}">
                <c16:uniqueId val="{00000001-62D4-45C9-95CE-4DEBE72A576B}"/>
              </c:ext>
            </c:extLst>
          </c:dPt>
          <c:dPt>
            <c:idx val="2"/>
            <c:invertIfNegative val="0"/>
            <c:bubble3D val="0"/>
            <c:spPr>
              <a:solidFill>
                <a:srgbClr val="002060"/>
              </a:solidFill>
              <a:ln>
                <a:noFill/>
              </a:ln>
              <a:effectLst/>
            </c:spPr>
            <c:extLst>
              <c:ext xmlns:c16="http://schemas.microsoft.com/office/drawing/2014/chart" uri="{C3380CC4-5D6E-409C-BE32-E72D297353CC}">
                <c16:uniqueId val="{00000003-62D4-45C9-95CE-4DEBE72A576B}"/>
              </c:ext>
            </c:extLst>
          </c:dPt>
          <c:dPt>
            <c:idx val="3"/>
            <c:invertIfNegative val="0"/>
            <c:bubble3D val="0"/>
            <c:spPr>
              <a:solidFill>
                <a:srgbClr val="002060"/>
              </a:solidFill>
              <a:ln>
                <a:noFill/>
              </a:ln>
              <a:effectLst/>
            </c:spPr>
            <c:extLst>
              <c:ext xmlns:c16="http://schemas.microsoft.com/office/drawing/2014/chart" uri="{C3380CC4-5D6E-409C-BE32-E72D297353CC}">
                <c16:uniqueId val="{00000005-62D4-45C9-95CE-4DEBE72A576B}"/>
              </c:ext>
            </c:extLst>
          </c:dPt>
          <c:dPt>
            <c:idx val="4"/>
            <c:invertIfNegative val="0"/>
            <c:bubble3D val="0"/>
            <c:spPr>
              <a:solidFill>
                <a:srgbClr val="002060"/>
              </a:solidFill>
              <a:ln>
                <a:noFill/>
              </a:ln>
              <a:effectLst/>
            </c:spPr>
            <c:extLst>
              <c:ext xmlns:c16="http://schemas.microsoft.com/office/drawing/2014/chart" uri="{C3380CC4-5D6E-409C-BE32-E72D297353CC}">
                <c16:uniqueId val="{00000007-62D4-45C9-95CE-4DEBE72A576B}"/>
              </c:ext>
            </c:extLst>
          </c:dPt>
          <c:dPt>
            <c:idx val="5"/>
            <c:invertIfNegative val="0"/>
            <c:bubble3D val="0"/>
            <c:spPr>
              <a:solidFill>
                <a:srgbClr val="002060"/>
              </a:solidFill>
              <a:ln>
                <a:noFill/>
              </a:ln>
              <a:effectLst/>
            </c:spPr>
            <c:extLst>
              <c:ext xmlns:c16="http://schemas.microsoft.com/office/drawing/2014/chart" uri="{C3380CC4-5D6E-409C-BE32-E72D297353CC}">
                <c16:uniqueId val="{00000009-62D4-45C9-95CE-4DEBE72A576B}"/>
              </c:ext>
            </c:extLst>
          </c:dPt>
          <c:dLbls>
            <c:dLbl>
              <c:idx val="2"/>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62D4-45C9-95CE-4DEBE72A576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'REC v.1 (Top-Down)'!$B$59:$I$59</c15:sqref>
                  </c15:fullRef>
                </c:ext>
              </c:extLst>
              <c:f>'REC v.1 (Top-Down)'!$D$59:$I$59</c:f>
              <c:strCache>
                <c:ptCount val="6"/>
                <c:pt idx="0">
                  <c:v> 2014A </c:v>
                </c:pt>
                <c:pt idx="1">
                  <c:v> 2015E </c:v>
                </c:pt>
                <c:pt idx="2">
                  <c:v> 2016E </c:v>
                </c:pt>
                <c:pt idx="3">
                  <c:v> 2017E </c:v>
                </c:pt>
                <c:pt idx="4">
                  <c:v> 2018E </c:v>
                </c:pt>
                <c:pt idx="5">
                  <c:v> 2019E </c:v>
                </c:pt>
              </c:strCache>
            </c:strRef>
          </c:cat>
          <c:val>
            <c:numRef>
              <c:extLst>
                <c:ext xmlns:c15="http://schemas.microsoft.com/office/drawing/2012/chart" uri="{02D57815-91ED-43cb-92C2-25804820EDAC}">
                  <c15:fullRef>
                    <c15:sqref>'REC v.1 (Top-Down)'!$B$94:$I$94</c15:sqref>
                  </c15:fullRef>
                </c:ext>
              </c:extLst>
              <c:f>'REC v.1 (Top-Down)'!$D$94:$I$94</c:f>
              <c:numCache>
                <c:formatCode>General</c:formatCode>
                <c:ptCount val="6"/>
                <c:pt idx="0" formatCode="_(* #,##0.00_);_(* \(#,##0.00\);_(* &quot;-&quot;??_);_(@_)">
                  <c:v>-103</c:v>
                </c:pt>
                <c:pt idx="1" formatCode="_(* #,##0.00_);_(* \(#,##0.00\);_(* &quot;-&quot;??_);_(@_)">
                  <c:v>-33.337253430531661</c:v>
                </c:pt>
                <c:pt idx="2" formatCode="_(* #,##0.00_);_(* \(#,##0.00\);_(* &quot;-&quot;??_);_(@_)">
                  <c:v>10.557680590207454</c:v>
                </c:pt>
                <c:pt idx="3" formatCode="_(* #,##0.00_);_(* \(#,##0.00\);_(* &quot;-&quot;??_);_(@_)">
                  <c:v>65.86995425863941</c:v>
                </c:pt>
                <c:pt idx="4" formatCode="_(* #,##0.00_);_(* \(#,##0.00\);_(* &quot;-&quot;??_);_(@_)">
                  <c:v>132.72612344202918</c:v>
                </c:pt>
                <c:pt idx="5" formatCode="_(* #,##0.00_);_(* \(#,##0.00\);_(* &quot;-&quot;??_);_(@_)">
                  <c:v>218.72200437537981</c:v>
                </c:pt>
              </c:numCache>
            </c:numRef>
          </c:val>
          <c:extLst>
            <c:ext xmlns:c16="http://schemas.microsoft.com/office/drawing/2014/chart" uri="{C3380CC4-5D6E-409C-BE32-E72D297353CC}">
              <c16:uniqueId val="{0000000C-62D4-45C9-95CE-4DEBE72A576B}"/>
            </c:ext>
          </c:extLst>
        </c:ser>
        <c:dLbls>
          <c:showLegendKey val="0"/>
          <c:showVal val="1"/>
          <c:showCatName val="0"/>
          <c:showSerName val="0"/>
          <c:showPercent val="0"/>
          <c:showBubbleSize val="0"/>
        </c:dLbls>
        <c:gapWidth val="78"/>
        <c:overlap val="100"/>
        <c:axId val="724465384"/>
        <c:axId val="724467680"/>
      </c:barChart>
      <c:catAx>
        <c:axId val="7244653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24467680"/>
        <c:crosses val="autoZero"/>
        <c:auto val="1"/>
        <c:lblAlgn val="ctr"/>
        <c:lblOffset val="100"/>
        <c:noMultiLvlLbl val="0"/>
      </c:catAx>
      <c:valAx>
        <c:axId val="7244676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SG"/>
                  <a:t>Revenue (in USD millions)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24465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Upfront Investment Breakdown</cx:v>
        </cx:txData>
      </cx:tx>
      <cx:txPr>
        <a:bodyPr vertOverflow="overflow" horzOverflow="overflow" wrap="square" lIns="0" tIns="0" rIns="0" bIns="0"/>
        <a:lstStyle/>
        <a:p>
          <a:pPr algn="ctr" rtl="0">
            <a:defRPr sz="1600" b="1" i="0">
              <a:solidFill>
                <a:srgbClr val="595959"/>
              </a:solidFill>
              <a:latin typeface="Arial" panose="020B0604020202020204" pitchFamily="34" charset="0"/>
              <a:ea typeface="Arial" panose="020B0604020202020204" pitchFamily="34" charset="0"/>
              <a:cs typeface="Arial" panose="020B0604020202020204" pitchFamily="34" charset="0"/>
            </a:defRPr>
          </a:pPr>
          <a:r>
            <a:rPr lang="en-SG" sz="1600" b="1">
              <a:latin typeface="Arial" panose="020B0604020202020204" pitchFamily="34" charset="0"/>
              <a:cs typeface="Arial" panose="020B0604020202020204" pitchFamily="34" charset="0"/>
            </a:rPr>
            <a:t>Upfront Investment Breakdown</a:t>
          </a:r>
        </a:p>
      </cx:txPr>
    </cx:title>
    <cx:plotArea>
      <cx:plotAreaRegion>
        <cx:series layoutId="waterfall" uniqueId="{49272565-4FA1-46D3-A847-B1C0C4D644E9}">
          <cx:spPr>
            <a:solidFill>
              <a:schemeClr val="accent1">
                <a:lumMod val="40000"/>
                <a:lumOff val="60000"/>
              </a:schemeClr>
            </a:solidFill>
          </cx:spPr>
          <cx:dataPt idx="5">
            <cx:spPr>
              <a:solidFill>
                <a:srgbClr val="002060"/>
              </a:solidFill>
            </cx:spPr>
          </cx:dataPt>
          <cx:dataLabels pos="outEnd">
            <cx:numFmt formatCode="0" sourceLinked="0"/>
            <cx:txPr>
              <a:bodyPr vertOverflow="overflow" horzOverflow="overflow" wrap="square" lIns="0" tIns="0" rIns="0" bIns="0"/>
              <a:lstStyle/>
              <a:p>
                <a:pPr algn="ctr" rtl="0">
                  <a:defRPr sz="1050" b="1"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SG" sz="1050" b="1">
                  <a:latin typeface="Arial" panose="020B0604020202020204" pitchFamily="34" charset="0"/>
                  <a:cs typeface="Arial" panose="020B0604020202020204" pitchFamily="34" charset="0"/>
                </a:endParaRPr>
              </a:p>
            </cx:txPr>
            <cx:visibility seriesName="0" categoryName="0" value="1"/>
            <cx:separator>, </cx:separator>
          </cx:dataLabels>
          <cx:dataId val="0"/>
          <cx:layoutPr>
            <cx:subtotals>
              <cx:idx val="5"/>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SG">
              <a:latin typeface="Arial" panose="020B0604020202020204" pitchFamily="34" charset="0"/>
              <a:cs typeface="Arial" panose="020B0604020202020204" pitchFamily="34" charset="0"/>
            </a:endParaRPr>
          </a:p>
        </cx:txPr>
      </cx:axis>
      <cx:axis id="1">
        <cx:valScaling/>
        <cx:title>
          <cx:tx>
            <cx:txData>
              <cx:v>Cost (in USD million)</cx:v>
            </cx:txData>
          </cx:tx>
          <cx:txPr>
            <a:bodyPr spcFirstLastPara="1" vertOverflow="ellipsis" horzOverflow="overflow" wrap="square" lIns="0" tIns="0" rIns="0" bIns="0" anchor="ctr" anchorCtr="1"/>
            <a:lstStyle/>
            <a:p>
              <a:pPr algn="ctr" rtl="0">
                <a:defRPr sz="1100">
                  <a:latin typeface="Arial" panose="020B0604020202020204" pitchFamily="34" charset="0"/>
                  <a:ea typeface="Arial" panose="020B0604020202020204" pitchFamily="34" charset="0"/>
                  <a:cs typeface="Arial" panose="020B0604020202020204" pitchFamily="34" charset="0"/>
                </a:defRPr>
              </a:pPr>
              <a:r>
                <a:rPr lang="en-US" sz="11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Cost (in USD million)</a:t>
              </a:r>
            </a:p>
          </cx:txPr>
        </cx:title>
        <cx:tickLabels/>
        <cx:numFmt formatCode="0" sourceLinked="0"/>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SG">
              <a:latin typeface="Arial" panose="020B0604020202020204" pitchFamily="34" charset="0"/>
              <a:cs typeface="Arial" panose="020B060402020202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113167</xdr:colOff>
      <xdr:row>26</xdr:row>
      <xdr:rowOff>67901</xdr:rowOff>
    </xdr:to>
    <xdr:graphicFrame macro="">
      <xdr:nvGraphicFramePr>
        <xdr:cNvPr id="3" name="Chart 2">
          <a:extLst>
            <a:ext uri="{FF2B5EF4-FFF2-40B4-BE49-F238E27FC236}">
              <a16:creationId xmlns:a16="http://schemas.microsoft.com/office/drawing/2014/main" id="{F77C2ACA-0A35-4407-BF39-D59F7A66D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324416</xdr:colOff>
      <xdr:row>3</xdr:row>
      <xdr:rowOff>0</xdr:rowOff>
    </xdr:from>
    <xdr:to>
      <xdr:col>14</xdr:col>
      <xdr:colOff>124484</xdr:colOff>
      <xdr:row>26</xdr:row>
      <xdr:rowOff>67901</xdr:rowOff>
    </xdr:to>
    <xdr:graphicFrame macro="">
      <xdr:nvGraphicFramePr>
        <xdr:cNvPr id="8" name="Chart 7">
          <a:extLst>
            <a:ext uri="{FF2B5EF4-FFF2-40B4-BE49-F238E27FC236}">
              <a16:creationId xmlns:a16="http://schemas.microsoft.com/office/drawing/2014/main" id="{7E1D2882-8F6E-418F-A4AA-5BA01DDDB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2674545</xdr:colOff>
      <xdr:row>7</xdr:row>
      <xdr:rowOff>105624</xdr:rowOff>
    </xdr:from>
    <xdr:to>
      <xdr:col>13</xdr:col>
      <xdr:colOff>343278</xdr:colOff>
      <xdr:row>12</xdr:row>
      <xdr:rowOff>60357</xdr:rowOff>
    </xdr:to>
    <xdr:cxnSp macro="">
      <xdr:nvCxnSpPr>
        <xdr:cNvPr id="9" name="Straight Arrow Connector 8">
          <a:extLst>
            <a:ext uri="{FF2B5EF4-FFF2-40B4-BE49-F238E27FC236}">
              <a16:creationId xmlns:a16="http://schemas.microsoft.com/office/drawing/2014/main" id="{0A0BCCD7-7562-473B-BF68-0F5F5457DCF0}"/>
            </a:ext>
          </a:extLst>
        </xdr:cNvPr>
        <xdr:cNvCxnSpPr/>
      </xdr:nvCxnSpPr>
      <xdr:spPr>
        <a:xfrm flipV="1">
          <a:off x="10185149" y="1109050"/>
          <a:ext cx="3138535" cy="671465"/>
        </a:xfrm>
        <a:prstGeom prst="straightConnector1">
          <a:avLst/>
        </a:prstGeom>
        <a:ln>
          <a:solidFill>
            <a:schemeClr val="accent4">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3754926</xdr:colOff>
      <xdr:row>6</xdr:row>
      <xdr:rowOff>141084</xdr:rowOff>
    </xdr:from>
    <xdr:to>
      <xdr:col>12</xdr:col>
      <xdr:colOff>24143</xdr:colOff>
      <xdr:row>12</xdr:row>
      <xdr:rowOff>61867</xdr:rowOff>
    </xdr:to>
    <xdr:sp macro="" textlink="">
      <xdr:nvSpPr>
        <xdr:cNvPr id="10" name="Oval 9">
          <a:extLst>
            <a:ext uri="{FF2B5EF4-FFF2-40B4-BE49-F238E27FC236}">
              <a16:creationId xmlns:a16="http://schemas.microsoft.com/office/drawing/2014/main" id="{B0AFC32B-3CBE-4C51-A157-E62AD496B389}"/>
            </a:ext>
          </a:extLst>
        </xdr:cNvPr>
        <xdr:cNvSpPr/>
      </xdr:nvSpPr>
      <xdr:spPr>
        <a:xfrm>
          <a:off x="11265530" y="1001163"/>
          <a:ext cx="1097732" cy="780862"/>
        </a:xfrm>
        <a:prstGeom prst="ellipse">
          <a:avLst/>
        </a:prstGeom>
        <a:solidFill>
          <a:schemeClr val="accent4">
            <a:lumMod val="75000"/>
          </a:schemeClr>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SG" sz="800" b="1">
              <a:latin typeface="Arial" panose="020B0604020202020204" pitchFamily="34" charset="0"/>
              <a:cs typeface="Arial" panose="020B0604020202020204" pitchFamily="34" charset="0"/>
            </a:rPr>
            <a:t>CAGR </a:t>
          </a:r>
        </a:p>
        <a:p>
          <a:pPr algn="ctr"/>
          <a:r>
            <a:rPr lang="en-SG" sz="800" b="1">
              <a:latin typeface="Arial" panose="020B0604020202020204" pitchFamily="34" charset="0"/>
              <a:cs typeface="Arial" panose="020B0604020202020204" pitchFamily="34" charset="0"/>
            </a:rPr>
            <a:t>2015E-2019E:</a:t>
          </a:r>
          <a:r>
            <a:rPr lang="en-SG" sz="800" b="1" baseline="0">
              <a:latin typeface="Arial" panose="020B0604020202020204" pitchFamily="34" charset="0"/>
              <a:cs typeface="Arial" panose="020B0604020202020204" pitchFamily="34" charset="0"/>
            </a:rPr>
            <a:t> </a:t>
          </a:r>
          <a:br>
            <a:rPr lang="en-SG" sz="800" b="1" baseline="0">
              <a:latin typeface="Arial" panose="020B0604020202020204" pitchFamily="34" charset="0"/>
              <a:cs typeface="Arial" panose="020B0604020202020204" pitchFamily="34" charset="0"/>
            </a:rPr>
          </a:br>
          <a:r>
            <a:rPr lang="en-SG" sz="1400" b="1" baseline="0">
              <a:latin typeface="Arial" panose="020B0604020202020204" pitchFamily="34" charset="0"/>
              <a:cs typeface="Arial" panose="020B0604020202020204" pitchFamily="34" charset="0"/>
            </a:rPr>
            <a:t>5%</a:t>
          </a:r>
          <a:endParaRPr lang="en-SG" sz="1100" b="1">
            <a:latin typeface="Arial" panose="020B0604020202020204" pitchFamily="34" charset="0"/>
            <a:cs typeface="Arial" panose="020B0604020202020204" pitchFamily="34" charset="0"/>
          </a:endParaRPr>
        </a:p>
      </xdr:txBody>
    </xdr:sp>
    <xdr:clientData/>
  </xdr:twoCellAnchor>
  <xdr:twoCellAnchor>
    <xdr:from>
      <xdr:col>2</xdr:col>
      <xdr:colOff>463990</xdr:colOff>
      <xdr:row>5</xdr:row>
      <xdr:rowOff>7544</xdr:rowOff>
    </xdr:from>
    <xdr:to>
      <xdr:col>7</xdr:col>
      <xdr:colOff>181069</xdr:colOff>
      <xdr:row>12</xdr:row>
      <xdr:rowOff>1</xdr:rowOff>
    </xdr:to>
    <xdr:cxnSp macro="">
      <xdr:nvCxnSpPr>
        <xdr:cNvPr id="13" name="Straight Arrow Connector 12">
          <a:extLst>
            <a:ext uri="{FF2B5EF4-FFF2-40B4-BE49-F238E27FC236}">
              <a16:creationId xmlns:a16="http://schemas.microsoft.com/office/drawing/2014/main" id="{392F9632-972C-46E0-8881-6391550423FF}"/>
            </a:ext>
          </a:extLst>
        </xdr:cNvPr>
        <xdr:cNvCxnSpPr/>
      </xdr:nvCxnSpPr>
      <xdr:spPr>
        <a:xfrm flipV="1">
          <a:off x="3270564" y="724277"/>
          <a:ext cx="2923515" cy="995882"/>
        </a:xfrm>
        <a:prstGeom prst="straightConnector1">
          <a:avLst/>
        </a:prstGeom>
        <a:ln>
          <a:solidFill>
            <a:schemeClr val="accent4">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73183</xdr:colOff>
      <xdr:row>5</xdr:row>
      <xdr:rowOff>79216</xdr:rowOff>
    </xdr:from>
    <xdr:to>
      <xdr:col>5</xdr:col>
      <xdr:colOff>529628</xdr:colOff>
      <xdr:row>10</xdr:row>
      <xdr:rowOff>143346</xdr:rowOff>
    </xdr:to>
    <xdr:sp macro="" textlink="">
      <xdr:nvSpPr>
        <xdr:cNvPr id="14" name="Oval 13">
          <a:extLst>
            <a:ext uri="{FF2B5EF4-FFF2-40B4-BE49-F238E27FC236}">
              <a16:creationId xmlns:a16="http://schemas.microsoft.com/office/drawing/2014/main" id="{B457AFEA-28D4-44F7-BA91-652EE46383C1}"/>
            </a:ext>
          </a:extLst>
        </xdr:cNvPr>
        <xdr:cNvSpPr/>
      </xdr:nvSpPr>
      <xdr:spPr>
        <a:xfrm>
          <a:off x="4162332" y="795949"/>
          <a:ext cx="1097732" cy="780862"/>
        </a:xfrm>
        <a:prstGeom prst="ellipse">
          <a:avLst/>
        </a:prstGeom>
        <a:solidFill>
          <a:schemeClr val="accent4">
            <a:lumMod val="75000"/>
          </a:schemeClr>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SG" sz="800" b="1">
              <a:latin typeface="Arial" panose="020B0604020202020204" pitchFamily="34" charset="0"/>
              <a:cs typeface="Arial" panose="020B0604020202020204" pitchFamily="34" charset="0"/>
            </a:rPr>
            <a:t>CAGR </a:t>
          </a:r>
        </a:p>
        <a:p>
          <a:pPr algn="ctr"/>
          <a:r>
            <a:rPr lang="en-SG" sz="800" b="1">
              <a:latin typeface="Arial" panose="020B0604020202020204" pitchFamily="34" charset="0"/>
              <a:cs typeface="Arial" panose="020B0604020202020204" pitchFamily="34" charset="0"/>
            </a:rPr>
            <a:t>2015E-2019E:</a:t>
          </a:r>
          <a:r>
            <a:rPr lang="en-SG" sz="800" b="1" baseline="0">
              <a:latin typeface="Arial" panose="020B0604020202020204" pitchFamily="34" charset="0"/>
              <a:cs typeface="Arial" panose="020B0604020202020204" pitchFamily="34" charset="0"/>
            </a:rPr>
            <a:t> </a:t>
          </a:r>
          <a:br>
            <a:rPr lang="en-SG" sz="800" b="1" baseline="0">
              <a:latin typeface="Arial" panose="020B0604020202020204" pitchFamily="34" charset="0"/>
              <a:cs typeface="Arial" panose="020B0604020202020204" pitchFamily="34" charset="0"/>
            </a:rPr>
          </a:br>
          <a:r>
            <a:rPr lang="en-SG" sz="1400" b="1" baseline="0">
              <a:latin typeface="Arial" panose="020B0604020202020204" pitchFamily="34" charset="0"/>
              <a:cs typeface="Arial" panose="020B0604020202020204" pitchFamily="34" charset="0"/>
            </a:rPr>
            <a:t>10%</a:t>
          </a:r>
          <a:endParaRPr lang="en-SG" sz="1100" b="1">
            <a:latin typeface="Arial" panose="020B0604020202020204" pitchFamily="34" charset="0"/>
            <a:cs typeface="Arial" panose="020B0604020202020204" pitchFamily="34" charset="0"/>
          </a:endParaRPr>
        </a:p>
      </xdr:txBody>
    </xdr:sp>
    <xdr:clientData/>
  </xdr:twoCellAnchor>
  <xdr:twoCellAnchor>
    <xdr:from>
      <xdr:col>0</xdr:col>
      <xdr:colOff>0</xdr:colOff>
      <xdr:row>34</xdr:row>
      <xdr:rowOff>0</xdr:rowOff>
    </xdr:from>
    <xdr:to>
      <xdr:col>8</xdr:col>
      <xdr:colOff>113167</xdr:colOff>
      <xdr:row>58</xdr:row>
      <xdr:rowOff>107485</xdr:rowOff>
    </xdr:to>
    <xdr:graphicFrame macro="">
      <xdr:nvGraphicFramePr>
        <xdr:cNvPr id="17" name="Chart 16">
          <a:extLst>
            <a:ext uri="{FF2B5EF4-FFF2-40B4-BE49-F238E27FC236}">
              <a16:creationId xmlns:a16="http://schemas.microsoft.com/office/drawing/2014/main" id="{025791BC-EAA2-4BE7-BD0C-7D037707D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64</xdr:row>
      <xdr:rowOff>44533</xdr:rowOff>
    </xdr:from>
    <xdr:to>
      <xdr:col>10</xdr:col>
      <xdr:colOff>1449779</xdr:colOff>
      <xdr:row>90</xdr:row>
      <xdr:rowOff>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E30A960B-E696-4892-9566-F3BFD99852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 y="9219013"/>
              <a:ext cx="8584003" cy="3668312"/>
            </a:xfrm>
            <a:prstGeom prst="rect">
              <a:avLst/>
            </a:prstGeom>
            <a:solidFill>
              <a:prstClr val="white"/>
            </a:solidFill>
            <a:ln w="1">
              <a:solidFill>
                <a:prstClr val="green"/>
              </a:solidFill>
            </a:ln>
          </xdr:spPr>
          <xdr:txBody>
            <a:bodyPr vertOverflow="clip" horzOverflow="clip"/>
            <a:lstStyle/>
            <a:p>
              <a:r>
                <a:rPr lang="en-SG"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1903E-D9A9-4AA0-B986-29A53F03C964}">
  <sheetPr>
    <tabColor rgb="FF002060"/>
  </sheetPr>
  <dimension ref="A1"/>
  <sheetViews>
    <sheetView showGridLines="0" workbookViewId="0">
      <selection activeCell="B30" sqref="B30"/>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5DDC-FA71-441C-B686-E7D600BCAB07}">
  <sheetPr>
    <tabColor theme="4" tint="0.79998168889431442"/>
  </sheetPr>
  <dimension ref="A1:K42"/>
  <sheetViews>
    <sheetView showGridLines="0" zoomScale="96" workbookViewId="0">
      <selection activeCell="E12" sqref="E12"/>
    </sheetView>
  </sheetViews>
  <sheetFormatPr defaultRowHeight="11.4" x14ac:dyDescent="0.2"/>
  <cols>
    <col min="1" max="1" width="41.5546875" style="5" bestFit="1" customWidth="1"/>
    <col min="2" max="9" width="8.88671875" style="5"/>
    <col min="10" max="10" width="2.88671875" style="5" customWidth="1"/>
    <col min="11" max="11" width="54.109375" style="10" bestFit="1" customWidth="1"/>
    <col min="12" max="16384" width="8.88671875" style="5"/>
  </cols>
  <sheetData>
    <row r="1" spans="1:11" ht="36.6" customHeight="1" x14ac:dyDescent="0.2">
      <c r="A1" s="66" t="s">
        <v>72</v>
      </c>
      <c r="B1" s="67"/>
      <c r="C1" s="67"/>
      <c r="D1" s="67"/>
      <c r="E1" s="67"/>
      <c r="F1" s="67"/>
      <c r="G1" s="67"/>
      <c r="H1" s="67"/>
      <c r="I1" s="67"/>
      <c r="J1" s="67"/>
      <c r="K1" s="68"/>
    </row>
    <row r="3" spans="1:11" ht="12" x14ac:dyDescent="0.25">
      <c r="A3" s="34" t="s">
        <v>70</v>
      </c>
      <c r="B3" s="30"/>
      <c r="C3" s="30"/>
      <c r="D3" s="30"/>
      <c r="E3" s="30"/>
      <c r="F3" s="30"/>
      <c r="G3" s="30"/>
      <c r="H3" s="30"/>
      <c r="I3" s="30"/>
      <c r="J3" s="30"/>
      <c r="K3" s="33"/>
    </row>
    <row r="4" spans="1:11" x14ac:dyDescent="0.2">
      <c r="A4" s="32" t="s">
        <v>69</v>
      </c>
    </row>
    <row r="5" spans="1:11" x14ac:dyDescent="0.2">
      <c r="A5" s="32"/>
    </row>
    <row r="6" spans="1:11" ht="12" x14ac:dyDescent="0.25">
      <c r="A6" s="32"/>
      <c r="B6" s="15" t="s">
        <v>10</v>
      </c>
      <c r="C6" s="15" t="s">
        <v>11</v>
      </c>
      <c r="D6" s="15" t="s">
        <v>12</v>
      </c>
      <c r="E6" s="15" t="s">
        <v>13</v>
      </c>
      <c r="F6" s="15" t="s">
        <v>14</v>
      </c>
      <c r="G6" s="15" t="s">
        <v>15</v>
      </c>
      <c r="H6" s="15" t="s">
        <v>46</v>
      </c>
      <c r="I6" s="15" t="s">
        <v>47</v>
      </c>
      <c r="K6" s="23" t="s">
        <v>18</v>
      </c>
    </row>
    <row r="8" spans="1:11" ht="12" x14ac:dyDescent="0.25">
      <c r="A8" s="6" t="s">
        <v>0</v>
      </c>
      <c r="B8" s="7">
        <v>1000</v>
      </c>
      <c r="C8" s="7">
        <v>1100</v>
      </c>
      <c r="D8" s="7">
        <v>1200</v>
      </c>
      <c r="E8" s="5">
        <f>D8*(100%+E9)</f>
        <v>1314.5454545454545</v>
      </c>
      <c r="F8" s="5">
        <f t="shared" ref="F8:I8" si="0">E8*(1+F9)</f>
        <v>1437.0371900826447</v>
      </c>
      <c r="G8" s="5">
        <f t="shared" si="0"/>
        <v>1572.5759250563485</v>
      </c>
      <c r="H8" s="5">
        <f t="shared" si="0"/>
        <v>1720.0049180303813</v>
      </c>
      <c r="I8" s="5">
        <f t="shared" si="0"/>
        <v>1881.7440168565336</v>
      </c>
    </row>
    <row r="9" spans="1:11" s="9" customFormat="1" ht="10.199999999999999" x14ac:dyDescent="0.2">
      <c r="A9" s="8" t="s">
        <v>44</v>
      </c>
      <c r="C9" s="11">
        <f>C8/B8-1</f>
        <v>0.10000000000000009</v>
      </c>
      <c r="D9" s="11">
        <f t="shared" ref="D9" si="1">D8/C8-1</f>
        <v>9.0909090909090828E-2</v>
      </c>
      <c r="E9" s="12">
        <f>AVERAGE(C9:D9)</f>
        <v>9.5454545454545459E-2</v>
      </c>
      <c r="F9" s="12">
        <f>AVERAGE(D9:E9)</f>
        <v>9.3181818181818143E-2</v>
      </c>
      <c r="G9" s="12">
        <f t="shared" ref="G9:I9" si="2">AVERAGE(E9:F9)</f>
        <v>9.4318181818181801E-2</v>
      </c>
      <c r="H9" s="12">
        <f t="shared" si="2"/>
        <v>9.3749999999999972E-2</v>
      </c>
      <c r="I9" s="12">
        <f t="shared" si="2"/>
        <v>9.4034090909090887E-2</v>
      </c>
      <c r="K9" s="9" t="s">
        <v>40</v>
      </c>
    </row>
    <row r="10" spans="1:11" x14ac:dyDescent="0.2">
      <c r="A10" s="8"/>
    </row>
    <row r="11" spans="1:11" x14ac:dyDescent="0.2">
      <c r="A11" s="5" t="s">
        <v>1</v>
      </c>
      <c r="B11" s="7">
        <v>500</v>
      </c>
      <c r="C11" s="7">
        <v>550</v>
      </c>
      <c r="D11" s="7">
        <v>580</v>
      </c>
      <c r="E11" s="5">
        <f>E8*E12</f>
        <v>649.969696969697</v>
      </c>
      <c r="F11" s="5">
        <f t="shared" ref="F11:G11" si="3">F8*F12</f>
        <v>710.53505509641877</v>
      </c>
      <c r="G11" s="5">
        <f t="shared" si="3"/>
        <v>777.55142961119464</v>
      </c>
      <c r="H11" s="5">
        <f t="shared" ref="H11:I11" si="4">H8*H12</f>
        <v>850.44687613724409</v>
      </c>
      <c r="I11" s="5">
        <f t="shared" si="4"/>
        <v>930.41787500128612</v>
      </c>
    </row>
    <row r="12" spans="1:11" s="9" customFormat="1" ht="10.199999999999999" x14ac:dyDescent="0.2">
      <c r="A12" s="8" t="s">
        <v>45</v>
      </c>
      <c r="B12" s="11">
        <f>B11/B8</f>
        <v>0.5</v>
      </c>
      <c r="C12" s="11">
        <f t="shared" ref="C12:D12" si="5">C11/C8</f>
        <v>0.5</v>
      </c>
      <c r="D12" s="11">
        <f t="shared" si="5"/>
        <v>0.48333333333333334</v>
      </c>
      <c r="E12" s="12">
        <f>AVERAGE(B12:D12)</f>
        <v>0.49444444444444446</v>
      </c>
      <c r="F12" s="12">
        <f>E12</f>
        <v>0.49444444444444446</v>
      </c>
      <c r="G12" s="12">
        <f>F12</f>
        <v>0.49444444444444446</v>
      </c>
      <c r="H12" s="12">
        <f>G12</f>
        <v>0.49444444444444446</v>
      </c>
      <c r="I12" s="12">
        <f>H12</f>
        <v>0.49444444444444446</v>
      </c>
      <c r="K12" s="9" t="s">
        <v>39</v>
      </c>
    </row>
    <row r="14" spans="1:11" ht="12" x14ac:dyDescent="0.25">
      <c r="A14" s="6" t="s">
        <v>2</v>
      </c>
      <c r="B14" s="16">
        <f>B8-B11</f>
        <v>500</v>
      </c>
      <c r="C14" s="16">
        <f t="shared" ref="C14:D14" si="6">C8-C11</f>
        <v>550</v>
      </c>
      <c r="D14" s="16">
        <f t="shared" si="6"/>
        <v>620</v>
      </c>
      <c r="E14" s="16">
        <f>E8-E11</f>
        <v>664.57575757575751</v>
      </c>
      <c r="F14" s="16">
        <f>F8-F11</f>
        <v>726.50213498622588</v>
      </c>
      <c r="G14" s="16">
        <f>G8-G11</f>
        <v>795.02449544515389</v>
      </c>
      <c r="H14" s="16">
        <f>H8-H11</f>
        <v>869.55804189313722</v>
      </c>
      <c r="I14" s="16">
        <f>I8-I11</f>
        <v>951.32614185524744</v>
      </c>
    </row>
    <row r="15" spans="1:11" s="11" customFormat="1" ht="10.199999999999999" x14ac:dyDescent="0.2">
      <c r="A15" s="13" t="s">
        <v>45</v>
      </c>
      <c r="B15" s="11">
        <f>B14/B8</f>
        <v>0.5</v>
      </c>
      <c r="C15" s="11">
        <f t="shared" ref="C15:G15" si="7">C14/C8</f>
        <v>0.5</v>
      </c>
      <c r="D15" s="11">
        <f t="shared" si="7"/>
        <v>0.51666666666666672</v>
      </c>
      <c r="E15" s="11">
        <f t="shared" si="7"/>
        <v>0.50555555555555554</v>
      </c>
      <c r="F15" s="11">
        <f t="shared" si="7"/>
        <v>0.50555555555555554</v>
      </c>
      <c r="G15" s="11">
        <f t="shared" si="7"/>
        <v>0.50555555555555554</v>
      </c>
      <c r="H15" s="11">
        <f t="shared" ref="H15:I15" si="8">H14/H8</f>
        <v>0.50555555555555554</v>
      </c>
      <c r="I15" s="11">
        <f t="shared" si="8"/>
        <v>0.50555555555555554</v>
      </c>
    </row>
    <row r="17" spans="1:11" x14ac:dyDescent="0.2">
      <c r="A17" s="5" t="s">
        <v>50</v>
      </c>
      <c r="B17" s="7">
        <v>300</v>
      </c>
      <c r="C17" s="7">
        <v>320</v>
      </c>
      <c r="D17" s="7">
        <v>340</v>
      </c>
      <c r="E17" s="5">
        <f>E8*E18</f>
        <v>365.88181818181818</v>
      </c>
      <c r="F17" s="5">
        <f t="shared" ref="F17:G17" si="9">F8*F18</f>
        <v>392.79016528925621</v>
      </c>
      <c r="G17" s="5">
        <f t="shared" si="9"/>
        <v>421.97453989012013</v>
      </c>
      <c r="H17" s="5">
        <f t="shared" ref="H17:I17" si="10">H8*H18</f>
        <v>452.93462841466703</v>
      </c>
      <c r="I17" s="5">
        <f t="shared" si="10"/>
        <v>486.11720435460444</v>
      </c>
    </row>
    <row r="18" spans="1:11" s="14" customFormat="1" ht="10.199999999999999" x14ac:dyDescent="0.2">
      <c r="A18" s="13" t="s">
        <v>45</v>
      </c>
      <c r="B18" s="11">
        <f>B17/B8</f>
        <v>0.3</v>
      </c>
      <c r="C18" s="11">
        <f t="shared" ref="C18:D18" si="11">C17/C8</f>
        <v>0.29090909090909089</v>
      </c>
      <c r="D18" s="11">
        <f t="shared" si="11"/>
        <v>0.28333333333333333</v>
      </c>
      <c r="E18" s="12">
        <f>D18-0.5%</f>
        <v>0.27833333333333332</v>
      </c>
      <c r="F18" s="12">
        <f>E18-0.5%</f>
        <v>0.27333333333333332</v>
      </c>
      <c r="G18" s="12">
        <f>F18-0.5%</f>
        <v>0.26833333333333331</v>
      </c>
      <c r="H18" s="12">
        <f>G18-0.5%</f>
        <v>0.26333333333333331</v>
      </c>
      <c r="I18" s="12">
        <f>H18-0.5%</f>
        <v>0.2583333333333333</v>
      </c>
      <c r="K18" s="11" t="s">
        <v>48</v>
      </c>
    </row>
    <row r="20" spans="1:11" x14ac:dyDescent="0.2">
      <c r="A20" s="5" t="s">
        <v>51</v>
      </c>
      <c r="B20" s="7">
        <v>30</v>
      </c>
      <c r="C20" s="7">
        <v>32</v>
      </c>
      <c r="D20" s="7">
        <v>34</v>
      </c>
      <c r="E20" s="5">
        <f>E11*E21</f>
        <v>43.872954545454547</v>
      </c>
      <c r="F20" s="5">
        <f t="shared" ref="F20:I20" si="12">F11*F21</f>
        <v>51.51379149449037</v>
      </c>
      <c r="G20" s="5">
        <f t="shared" si="12"/>
        <v>60.260235794867597</v>
      </c>
      <c r="H20" s="5">
        <f t="shared" si="12"/>
        <v>70.161867281322657</v>
      </c>
      <c r="I20" s="5">
        <f t="shared" si="12"/>
        <v>81.411564062612555</v>
      </c>
    </row>
    <row r="21" spans="1:11" x14ac:dyDescent="0.2">
      <c r="A21" s="13" t="s">
        <v>44</v>
      </c>
      <c r="B21" s="11"/>
      <c r="C21" s="11">
        <f>C20/B20-1</f>
        <v>6.6666666666666652E-2</v>
      </c>
      <c r="D21" s="11">
        <f t="shared" ref="D21" si="13">D20/C20-1</f>
        <v>6.25E-2</v>
      </c>
      <c r="E21" s="12">
        <f>D21+0.5%</f>
        <v>6.7500000000000004E-2</v>
      </c>
      <c r="F21" s="12">
        <f t="shared" ref="F21:I21" si="14">E21+0.5%</f>
        <v>7.2500000000000009E-2</v>
      </c>
      <c r="G21" s="12">
        <f t="shared" si="14"/>
        <v>7.7500000000000013E-2</v>
      </c>
      <c r="H21" s="12">
        <f t="shared" si="14"/>
        <v>8.2500000000000018E-2</v>
      </c>
      <c r="I21" s="12">
        <f t="shared" si="14"/>
        <v>8.7500000000000022E-2</v>
      </c>
      <c r="J21" s="14"/>
      <c r="K21" s="11" t="s">
        <v>49</v>
      </c>
    </row>
    <row r="23" spans="1:11" ht="12" x14ac:dyDescent="0.25">
      <c r="A23" s="6" t="s">
        <v>5</v>
      </c>
      <c r="B23" s="16">
        <f>B14-B17-B20</f>
        <v>170</v>
      </c>
      <c r="C23" s="16">
        <f t="shared" ref="C23:I23" si="15">C14-C17-C20</f>
        <v>198</v>
      </c>
      <c r="D23" s="16">
        <f t="shared" si="15"/>
        <v>246</v>
      </c>
      <c r="E23" s="16">
        <f t="shared" si="15"/>
        <v>254.82098484848478</v>
      </c>
      <c r="F23" s="16">
        <f t="shared" si="15"/>
        <v>282.19817820247931</v>
      </c>
      <c r="G23" s="16">
        <f t="shared" si="15"/>
        <v>312.78971976016618</v>
      </c>
      <c r="H23" s="16">
        <f t="shared" si="15"/>
        <v>346.46154619714753</v>
      </c>
      <c r="I23" s="16">
        <f t="shared" si="15"/>
        <v>383.79737343803043</v>
      </c>
    </row>
    <row r="24" spans="1:11" s="14" customFormat="1" ht="10.199999999999999" x14ac:dyDescent="0.2">
      <c r="A24" s="13" t="s">
        <v>45</v>
      </c>
      <c r="B24" s="11">
        <f>B23/B8</f>
        <v>0.17</v>
      </c>
      <c r="C24" s="11">
        <f t="shared" ref="C24:G24" si="16">C23/C8</f>
        <v>0.18</v>
      </c>
      <c r="D24" s="11">
        <f t="shared" si="16"/>
        <v>0.20499999999999999</v>
      </c>
      <c r="E24" s="11">
        <f t="shared" si="16"/>
        <v>0.19384722222222217</v>
      </c>
      <c r="F24" s="11">
        <f t="shared" si="16"/>
        <v>0.19637499999999997</v>
      </c>
      <c r="G24" s="11">
        <f t="shared" si="16"/>
        <v>0.19890277777777776</v>
      </c>
      <c r="H24" s="11">
        <f t="shared" ref="H24:I24" si="17">H23/H8</f>
        <v>0.20143055555555556</v>
      </c>
      <c r="I24" s="11">
        <f t="shared" si="17"/>
        <v>0.2039583333333333</v>
      </c>
    </row>
    <row r="26" spans="1:11" x14ac:dyDescent="0.2">
      <c r="A26" s="5" t="s">
        <v>3</v>
      </c>
      <c r="B26" s="7">
        <v>10</v>
      </c>
      <c r="C26" s="7">
        <v>11</v>
      </c>
      <c r="D26" s="7">
        <v>12</v>
      </c>
      <c r="E26" s="5">
        <f>D26*(1+E27)</f>
        <v>13.09090909090909</v>
      </c>
      <c r="F26" s="5">
        <f t="shared" ref="F26" si="18">E26*(1+F27)</f>
        <v>14.280991735537189</v>
      </c>
      <c r="G26" s="5">
        <f t="shared" ref="G26:I26" si="19">F26*(1+G27)</f>
        <v>15.579263711495114</v>
      </c>
      <c r="H26" s="5">
        <f t="shared" si="19"/>
        <v>16.995560412540122</v>
      </c>
      <c r="I26" s="5">
        <f t="shared" si="19"/>
        <v>18.540611359134676</v>
      </c>
    </row>
    <row r="27" spans="1:11" s="11" customFormat="1" ht="10.199999999999999" x14ac:dyDescent="0.2">
      <c r="A27" s="13" t="s">
        <v>44</v>
      </c>
      <c r="C27" s="11">
        <f>C26/B26-1</f>
        <v>0.10000000000000009</v>
      </c>
      <c r="D27" s="11">
        <f t="shared" ref="D27" si="20">D26/C26-1</f>
        <v>9.0909090909090828E-2</v>
      </c>
      <c r="E27" s="12">
        <f>D27</f>
        <v>9.0909090909090828E-2</v>
      </c>
      <c r="F27" s="12">
        <f>E27</f>
        <v>9.0909090909090828E-2</v>
      </c>
      <c r="G27" s="12">
        <f>F27</f>
        <v>9.0909090909090828E-2</v>
      </c>
      <c r="H27" s="12">
        <f>G27</f>
        <v>9.0909090909090828E-2</v>
      </c>
      <c r="I27" s="12">
        <f>H27</f>
        <v>9.0909090909090828E-2</v>
      </c>
      <c r="K27" s="11" t="s">
        <v>41</v>
      </c>
    </row>
    <row r="29" spans="1:11" ht="12" x14ac:dyDescent="0.25">
      <c r="A29" s="6" t="s">
        <v>4</v>
      </c>
      <c r="B29" s="16">
        <f>B23-B26</f>
        <v>160</v>
      </c>
      <c r="C29" s="16">
        <f t="shared" ref="C29:G29" si="21">C23-C26</f>
        <v>187</v>
      </c>
      <c r="D29" s="16">
        <f t="shared" si="21"/>
        <v>234</v>
      </c>
      <c r="E29" s="16">
        <f t="shared" si="21"/>
        <v>241.73007575757569</v>
      </c>
      <c r="F29" s="16">
        <f t="shared" si="21"/>
        <v>267.9171864669421</v>
      </c>
      <c r="G29" s="16">
        <f t="shared" si="21"/>
        <v>297.21045604867106</v>
      </c>
      <c r="H29" s="16">
        <f t="shared" ref="H29:I29" si="22">H23-H26</f>
        <v>329.46598578460743</v>
      </c>
      <c r="I29" s="16">
        <f t="shared" si="22"/>
        <v>365.25676207889575</v>
      </c>
    </row>
    <row r="30" spans="1:11" s="14" customFormat="1" ht="10.199999999999999" x14ac:dyDescent="0.2">
      <c r="A30" s="13" t="s">
        <v>45</v>
      </c>
      <c r="B30" s="11">
        <f>B29/B8</f>
        <v>0.16</v>
      </c>
      <c r="C30" s="11">
        <f t="shared" ref="C30:I30" si="23">C29/C8</f>
        <v>0.17</v>
      </c>
      <c r="D30" s="11">
        <f t="shared" si="23"/>
        <v>0.19500000000000001</v>
      </c>
      <c r="E30" s="11">
        <f t="shared" si="23"/>
        <v>0.18388871599815579</v>
      </c>
      <c r="F30" s="11">
        <f t="shared" si="23"/>
        <v>0.18643719753107715</v>
      </c>
      <c r="G30" s="11">
        <f t="shared" si="23"/>
        <v>0.18899593419505098</v>
      </c>
      <c r="H30" s="11">
        <f t="shared" si="23"/>
        <v>0.19154944403408264</v>
      </c>
      <c r="I30" s="11">
        <f t="shared" si="23"/>
        <v>0.19410544622804737</v>
      </c>
    </row>
    <row r="32" spans="1:11" x14ac:dyDescent="0.2">
      <c r="A32" s="5" t="s">
        <v>6</v>
      </c>
      <c r="B32" s="7">
        <v>30</v>
      </c>
      <c r="C32" s="7">
        <v>40</v>
      </c>
      <c r="D32" s="7">
        <v>50</v>
      </c>
      <c r="E32" s="5">
        <f>D32*(1+E33)</f>
        <v>62.5</v>
      </c>
      <c r="F32" s="5">
        <f t="shared" ref="F32" si="24">E32*(1+F33)</f>
        <v>78.125</v>
      </c>
      <c r="G32" s="5">
        <f t="shared" ref="G32:I32" si="25">F32*(1+G33)</f>
        <v>97.65625</v>
      </c>
      <c r="H32" s="5">
        <f t="shared" si="25"/>
        <v>122.0703125</v>
      </c>
      <c r="I32" s="5">
        <f t="shared" si="25"/>
        <v>152.587890625</v>
      </c>
    </row>
    <row r="33" spans="1:11" s="11" customFormat="1" ht="10.199999999999999" x14ac:dyDescent="0.2">
      <c r="A33" s="13" t="s">
        <v>9</v>
      </c>
      <c r="C33" s="11">
        <f>C32/B32-1</f>
        <v>0.33333333333333326</v>
      </c>
      <c r="D33" s="11">
        <f t="shared" ref="D33" si="26">D32/C32-1</f>
        <v>0.25</v>
      </c>
      <c r="E33" s="12">
        <f>D33</f>
        <v>0.25</v>
      </c>
      <c r="F33" s="12">
        <f>E33</f>
        <v>0.25</v>
      </c>
      <c r="G33" s="12">
        <f>F33</f>
        <v>0.25</v>
      </c>
      <c r="H33" s="12">
        <f>G33</f>
        <v>0.25</v>
      </c>
      <c r="I33" s="12">
        <f>H33</f>
        <v>0.25</v>
      </c>
      <c r="K33" s="11" t="s">
        <v>41</v>
      </c>
    </row>
    <row r="35" spans="1:11" ht="12" x14ac:dyDescent="0.25">
      <c r="A35" s="6" t="s">
        <v>16</v>
      </c>
      <c r="B35" s="16">
        <f>B29-B32</f>
        <v>130</v>
      </c>
      <c r="C35" s="16">
        <f t="shared" ref="C35:G35" si="27">C29-C32</f>
        <v>147</v>
      </c>
      <c r="D35" s="16">
        <f t="shared" si="27"/>
        <v>184</v>
      </c>
      <c r="E35" s="16">
        <f t="shared" si="27"/>
        <v>179.23007575757569</v>
      </c>
      <c r="F35" s="16">
        <f t="shared" si="27"/>
        <v>189.7921864669421</v>
      </c>
      <c r="G35" s="16">
        <f t="shared" si="27"/>
        <v>199.55420604867106</v>
      </c>
      <c r="H35" s="16">
        <f t="shared" ref="H35:I35" si="28">H29-H32</f>
        <v>207.39567328460743</v>
      </c>
      <c r="I35" s="16">
        <f t="shared" si="28"/>
        <v>212.66887145389575</v>
      </c>
    </row>
    <row r="36" spans="1:11" s="14" customFormat="1" ht="10.199999999999999" x14ac:dyDescent="0.2">
      <c r="A36" s="13" t="s">
        <v>45</v>
      </c>
      <c r="B36" s="11">
        <f>B35/B8</f>
        <v>0.13</v>
      </c>
      <c r="C36" s="11">
        <f t="shared" ref="C36:G36" si="29">C35/C8</f>
        <v>0.13363636363636364</v>
      </c>
      <c r="D36" s="11">
        <f t="shared" si="29"/>
        <v>0.15333333333333332</v>
      </c>
      <c r="E36" s="11">
        <f t="shared" si="29"/>
        <v>0.13634376440756105</v>
      </c>
      <c r="F36" s="11">
        <f t="shared" si="29"/>
        <v>0.13207186826948233</v>
      </c>
      <c r="G36" s="11">
        <f t="shared" si="29"/>
        <v>0.1268963888287433</v>
      </c>
      <c r="H36" s="11">
        <f t="shared" ref="H36:I36" si="30">H35/H8</f>
        <v>0.12057853504401671</v>
      </c>
      <c r="I36" s="11">
        <f t="shared" si="30"/>
        <v>0.11301689791428729</v>
      </c>
    </row>
    <row r="38" spans="1:11" x14ac:dyDescent="0.2">
      <c r="A38" s="5" t="s">
        <v>7</v>
      </c>
      <c r="B38" s="7">
        <v>30</v>
      </c>
      <c r="C38" s="7">
        <v>34</v>
      </c>
      <c r="D38" s="7">
        <v>38</v>
      </c>
      <c r="E38" s="5">
        <f>E35*E39</f>
        <v>39.943423002836809</v>
      </c>
      <c r="F38" s="5">
        <f t="shared" ref="F38" si="31">E38*(1+F39)</f>
        <v>48.845260679575702</v>
      </c>
      <c r="G38" s="5">
        <f t="shared" ref="G38:I38" si="32">F38*(1+G39)</f>
        <v>59.730972247577746</v>
      </c>
      <c r="H38" s="5">
        <f t="shared" si="32"/>
        <v>73.042686148110761</v>
      </c>
      <c r="I38" s="5">
        <f t="shared" si="32"/>
        <v>89.321064080750318</v>
      </c>
    </row>
    <row r="39" spans="1:11" s="14" customFormat="1" ht="10.199999999999999" x14ac:dyDescent="0.2">
      <c r="A39" s="13" t="s">
        <v>19</v>
      </c>
      <c r="B39" s="11">
        <f>B38/B35</f>
        <v>0.23076923076923078</v>
      </c>
      <c r="C39" s="11">
        <f t="shared" ref="C39:D39" si="33">C38/C35</f>
        <v>0.23129251700680273</v>
      </c>
      <c r="D39" s="11">
        <f t="shared" si="33"/>
        <v>0.20652173913043478</v>
      </c>
      <c r="E39" s="12">
        <f>AVERAGE($B$39:$D$39)</f>
        <v>0.22286116230215611</v>
      </c>
      <c r="F39" s="12">
        <f>AVERAGE($B$39:$D$39)</f>
        <v>0.22286116230215611</v>
      </c>
      <c r="G39" s="12">
        <f>AVERAGE($B$39:$D$39)</f>
        <v>0.22286116230215611</v>
      </c>
      <c r="H39" s="12">
        <f>AVERAGE($B$39:$D$39)</f>
        <v>0.22286116230215611</v>
      </c>
      <c r="I39" s="12">
        <f>AVERAGE($B$39:$D$39)</f>
        <v>0.22286116230215611</v>
      </c>
      <c r="K39" s="9" t="s">
        <v>42</v>
      </c>
    </row>
    <row r="41" spans="1:11" ht="12" x14ac:dyDescent="0.25">
      <c r="A41" s="6" t="s">
        <v>8</v>
      </c>
      <c r="B41" s="16">
        <f>B35-B38</f>
        <v>100</v>
      </c>
      <c r="C41" s="16">
        <f t="shared" ref="C41:G41" si="34">C35-C38</f>
        <v>113</v>
      </c>
      <c r="D41" s="16">
        <f t="shared" si="34"/>
        <v>146</v>
      </c>
      <c r="E41" s="16">
        <f t="shared" si="34"/>
        <v>139.2866527547389</v>
      </c>
      <c r="F41" s="16">
        <f t="shared" si="34"/>
        <v>140.94692578736641</v>
      </c>
      <c r="G41" s="16">
        <f t="shared" si="34"/>
        <v>139.82323380109332</v>
      </c>
      <c r="H41" s="16">
        <f t="shared" ref="H41:I41" si="35">H35-H38</f>
        <v>134.35298713649667</v>
      </c>
      <c r="I41" s="16">
        <f t="shared" si="35"/>
        <v>123.34780737314543</v>
      </c>
    </row>
    <row r="42" spans="1:11" s="10" customFormat="1" ht="10.199999999999999" x14ac:dyDescent="0.2">
      <c r="A42" s="13" t="s">
        <v>45</v>
      </c>
      <c r="B42" s="11">
        <f>B41/B8</f>
        <v>0.1</v>
      </c>
      <c r="C42" s="11">
        <f t="shared" ref="C42:G42" si="36">C41/C8</f>
        <v>0.10272727272727272</v>
      </c>
      <c r="D42" s="11">
        <f t="shared" si="36"/>
        <v>0.12166666666666667</v>
      </c>
      <c r="E42" s="11">
        <f t="shared" si="36"/>
        <v>0.10595803459904066</v>
      </c>
      <c r="F42" s="11">
        <f t="shared" si="36"/>
        <v>9.8081613169148735E-2</v>
      </c>
      <c r="G42" s="11">
        <f t="shared" si="36"/>
        <v>8.8913502727115179E-2</v>
      </c>
      <c r="H42" s="11">
        <f t="shared" ref="H42:I42" si="37">H41/H8</f>
        <v>7.8111978476403124E-2</v>
      </c>
      <c r="I42" s="11">
        <f t="shared" si="37"/>
        <v>6.5549727416802844E-2</v>
      </c>
    </row>
  </sheetData>
  <mergeCells count="1">
    <mergeCell ref="A1:K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AA9B-F242-4DC5-B8D3-FB97F96CAB86}">
  <sheetPr>
    <tabColor theme="4" tint="0.79998168889431442"/>
  </sheetPr>
  <dimension ref="A1:K36"/>
  <sheetViews>
    <sheetView showGridLines="0" zoomScale="96" zoomScaleNormal="70" workbookViewId="0">
      <selection activeCell="K14" sqref="K14"/>
    </sheetView>
  </sheetViews>
  <sheetFormatPr defaultRowHeight="11.4" outlineLevelRow="1" x14ac:dyDescent="0.2"/>
  <cols>
    <col min="1" max="1" width="29.88671875" style="5" bestFit="1" customWidth="1"/>
    <col min="2" max="9" width="8.88671875" style="5"/>
    <col min="10" max="10" width="3" style="26" customWidth="1"/>
    <col min="11" max="11" width="57.88671875" style="10" customWidth="1"/>
    <col min="12" max="16384" width="8.88671875" style="5"/>
  </cols>
  <sheetData>
    <row r="1" spans="1:11" ht="80.7" customHeight="1" x14ac:dyDescent="0.2">
      <c r="A1" s="66" t="s">
        <v>71</v>
      </c>
      <c r="B1" s="67"/>
      <c r="C1" s="67"/>
      <c r="D1" s="67"/>
      <c r="E1" s="67"/>
      <c r="F1" s="67"/>
      <c r="G1" s="67"/>
      <c r="H1" s="67"/>
      <c r="I1" s="67"/>
      <c r="J1" s="67"/>
      <c r="K1" s="68"/>
    </row>
    <row r="3" spans="1:11" ht="12" outlineLevel="1" x14ac:dyDescent="0.25">
      <c r="A3" s="34" t="s">
        <v>70</v>
      </c>
      <c r="B3" s="30"/>
      <c r="C3" s="30"/>
      <c r="D3" s="30"/>
      <c r="E3" s="30"/>
      <c r="F3" s="30"/>
      <c r="G3" s="30"/>
      <c r="H3" s="30"/>
      <c r="I3" s="30"/>
      <c r="J3" s="30"/>
      <c r="K3" s="33"/>
    </row>
    <row r="4" spans="1:11" outlineLevel="1" x14ac:dyDescent="0.2">
      <c r="A4" s="32" t="s">
        <v>69</v>
      </c>
      <c r="J4" s="5"/>
    </row>
    <row r="5" spans="1:11" outlineLevel="1" x14ac:dyDescent="0.2"/>
    <row r="6" spans="1:11" ht="12" outlineLevel="1" x14ac:dyDescent="0.25">
      <c r="B6" s="15" t="s">
        <v>10</v>
      </c>
      <c r="C6" s="15" t="s">
        <v>11</v>
      </c>
      <c r="D6" s="15" t="s">
        <v>12</v>
      </c>
      <c r="E6" s="15" t="s">
        <v>13</v>
      </c>
      <c r="F6" s="15" t="s">
        <v>14</v>
      </c>
      <c r="G6" s="15" t="s">
        <v>15</v>
      </c>
      <c r="H6" s="15" t="s">
        <v>46</v>
      </c>
      <c r="I6" s="15" t="s">
        <v>47</v>
      </c>
      <c r="J6" s="25"/>
    </row>
    <row r="7" spans="1:11" outlineLevel="1" x14ac:dyDescent="0.2"/>
    <row r="8" spans="1:11" ht="12" outlineLevel="1" x14ac:dyDescent="0.25">
      <c r="A8" s="6" t="s">
        <v>0</v>
      </c>
      <c r="B8" s="7">
        <v>1000</v>
      </c>
      <c r="C8" s="7">
        <v>1100</v>
      </c>
      <c r="D8" s="7">
        <v>1200</v>
      </c>
      <c r="E8" s="5">
        <f>D8*(100%+E25)</f>
        <v>1314.5454545454545</v>
      </c>
      <c r="F8" s="5">
        <f>E8*(1+F25)</f>
        <v>1437.0371900826447</v>
      </c>
      <c r="G8" s="5">
        <f>F8*(1+G25)</f>
        <v>1572.5759250563485</v>
      </c>
      <c r="H8" s="5">
        <f>G8*(1+H25)</f>
        <v>1720.0049180303813</v>
      </c>
      <c r="I8" s="5">
        <f>H8*(1+I25)</f>
        <v>1881.7440168565336</v>
      </c>
    </row>
    <row r="9" spans="1:11" outlineLevel="1" x14ac:dyDescent="0.2">
      <c r="A9" s="5" t="s">
        <v>1</v>
      </c>
      <c r="B9" s="7">
        <v>500</v>
      </c>
      <c r="C9" s="7">
        <v>550</v>
      </c>
      <c r="D9" s="7">
        <v>580</v>
      </c>
      <c r="E9" s="5">
        <f>E8*E26</f>
        <v>649.969696969697</v>
      </c>
      <c r="F9" s="5">
        <f>F8*F26</f>
        <v>710.53505509641877</v>
      </c>
      <c r="G9" s="5">
        <f>G8*G26</f>
        <v>777.55142961119464</v>
      </c>
      <c r="H9" s="5">
        <f>H8*H26</f>
        <v>850.44687613724409</v>
      </c>
      <c r="I9" s="5">
        <f>I8*I26</f>
        <v>930.41787500128612</v>
      </c>
    </row>
    <row r="10" spans="1:11" ht="12" outlineLevel="1" x14ac:dyDescent="0.25">
      <c r="A10" s="6" t="s">
        <v>2</v>
      </c>
      <c r="B10" s="16">
        <f t="shared" ref="B10:I10" si="0">B8-B9</f>
        <v>500</v>
      </c>
      <c r="C10" s="16">
        <f t="shared" si="0"/>
        <v>550</v>
      </c>
      <c r="D10" s="16">
        <f t="shared" si="0"/>
        <v>620</v>
      </c>
      <c r="E10" s="16">
        <f t="shared" si="0"/>
        <v>664.57575757575751</v>
      </c>
      <c r="F10" s="16">
        <f t="shared" si="0"/>
        <v>726.50213498622588</v>
      </c>
      <c r="G10" s="16">
        <f t="shared" si="0"/>
        <v>795.02449544515389</v>
      </c>
      <c r="H10" s="16">
        <f t="shared" si="0"/>
        <v>869.55804189313722</v>
      </c>
      <c r="I10" s="16">
        <f t="shared" si="0"/>
        <v>951.32614185524744</v>
      </c>
      <c r="J10" s="28"/>
    </row>
    <row r="11" spans="1:11" outlineLevel="1" x14ac:dyDescent="0.2">
      <c r="A11" s="5" t="s">
        <v>50</v>
      </c>
      <c r="B11" s="7">
        <v>300</v>
      </c>
      <c r="C11" s="7">
        <v>320</v>
      </c>
      <c r="D11" s="7">
        <v>340</v>
      </c>
      <c r="E11" s="5">
        <f t="shared" ref="E11:I12" si="1">E8*E28</f>
        <v>365.88181818181818</v>
      </c>
      <c r="F11" s="5">
        <f t="shared" si="1"/>
        <v>392.79016528925621</v>
      </c>
      <c r="G11" s="5">
        <f t="shared" si="1"/>
        <v>421.97453989012013</v>
      </c>
      <c r="H11" s="5">
        <f t="shared" si="1"/>
        <v>452.93462841466703</v>
      </c>
      <c r="I11" s="5">
        <f t="shared" si="1"/>
        <v>486.11720435460444</v>
      </c>
    </row>
    <row r="12" spans="1:11" outlineLevel="1" x14ac:dyDescent="0.2">
      <c r="A12" s="5" t="s">
        <v>51</v>
      </c>
      <c r="B12" s="7">
        <v>30</v>
      </c>
      <c r="C12" s="7">
        <v>32</v>
      </c>
      <c r="D12" s="7">
        <v>34</v>
      </c>
      <c r="E12" s="5">
        <f t="shared" si="1"/>
        <v>43.872954545454547</v>
      </c>
      <c r="F12" s="5">
        <f t="shared" si="1"/>
        <v>51.51379149449037</v>
      </c>
      <c r="G12" s="5">
        <f t="shared" si="1"/>
        <v>60.260235794867597</v>
      </c>
      <c r="H12" s="5">
        <f t="shared" si="1"/>
        <v>70.161867281322657</v>
      </c>
      <c r="I12" s="5">
        <f t="shared" si="1"/>
        <v>81.411564062612555</v>
      </c>
    </row>
    <row r="13" spans="1:11" ht="12" outlineLevel="1" x14ac:dyDescent="0.25">
      <c r="A13" s="6" t="s">
        <v>5</v>
      </c>
      <c r="B13" s="16">
        <f>B10-B11-B12</f>
        <v>170</v>
      </c>
      <c r="C13" s="16">
        <f t="shared" ref="C13:I13" si="2">C10-C11-C12</f>
        <v>198</v>
      </c>
      <c r="D13" s="16">
        <f t="shared" si="2"/>
        <v>246</v>
      </c>
      <c r="E13" s="16">
        <f t="shared" si="2"/>
        <v>254.82098484848478</v>
      </c>
      <c r="F13" s="16">
        <f t="shared" si="2"/>
        <v>282.19817820247931</v>
      </c>
      <c r="G13" s="16">
        <f t="shared" si="2"/>
        <v>312.78971976016618</v>
      </c>
      <c r="H13" s="16">
        <f t="shared" si="2"/>
        <v>346.46154619714753</v>
      </c>
      <c r="I13" s="16">
        <f t="shared" si="2"/>
        <v>383.79737343803043</v>
      </c>
      <c r="J13" s="28"/>
    </row>
    <row r="14" spans="1:11" outlineLevel="1" x14ac:dyDescent="0.2">
      <c r="A14" s="5" t="s">
        <v>3</v>
      </c>
      <c r="B14" s="7">
        <v>10</v>
      </c>
      <c r="C14" s="7">
        <v>11</v>
      </c>
      <c r="D14" s="7">
        <v>12</v>
      </c>
      <c r="E14" s="5">
        <f>D14*(1+E31)</f>
        <v>13.09090909090909</v>
      </c>
      <c r="F14" s="5">
        <f>E14*(1+F31)</f>
        <v>14.280991735537189</v>
      </c>
      <c r="G14" s="5">
        <f>F14*(1+G31)</f>
        <v>15.579263711495114</v>
      </c>
      <c r="H14" s="5">
        <f>G14*(1+H31)</f>
        <v>16.995560412540122</v>
      </c>
      <c r="I14" s="5">
        <f>H14*(1+I31)</f>
        <v>18.540611359134676</v>
      </c>
    </row>
    <row r="15" spans="1:11" ht="12" outlineLevel="1" x14ac:dyDescent="0.25">
      <c r="A15" s="6" t="s">
        <v>4</v>
      </c>
      <c r="B15" s="16">
        <f t="shared" ref="B15:I15" si="3">B13-B14</f>
        <v>160</v>
      </c>
      <c r="C15" s="16">
        <f t="shared" si="3"/>
        <v>187</v>
      </c>
      <c r="D15" s="16">
        <f t="shared" si="3"/>
        <v>234</v>
      </c>
      <c r="E15" s="16">
        <f t="shared" si="3"/>
        <v>241.73007575757569</v>
      </c>
      <c r="F15" s="16">
        <f t="shared" si="3"/>
        <v>267.9171864669421</v>
      </c>
      <c r="G15" s="16">
        <f t="shared" si="3"/>
        <v>297.21045604867106</v>
      </c>
      <c r="H15" s="16">
        <f t="shared" si="3"/>
        <v>329.46598578460743</v>
      </c>
      <c r="I15" s="16">
        <f t="shared" si="3"/>
        <v>365.25676207889575</v>
      </c>
      <c r="J15" s="28"/>
    </row>
    <row r="16" spans="1:11" outlineLevel="1" x14ac:dyDescent="0.2">
      <c r="A16" s="5" t="s">
        <v>6</v>
      </c>
      <c r="B16" s="7">
        <v>30</v>
      </c>
      <c r="C16" s="7">
        <v>40</v>
      </c>
      <c r="D16" s="7">
        <v>50</v>
      </c>
      <c r="E16" s="5">
        <f>D16*(1+E33)</f>
        <v>62.5</v>
      </c>
      <c r="F16" s="5">
        <f>E16*(1+F33)</f>
        <v>78.125</v>
      </c>
      <c r="G16" s="5">
        <f>F16*(1+G33)</f>
        <v>97.65625</v>
      </c>
      <c r="H16" s="5">
        <f>G16*(1+H33)</f>
        <v>122.0703125</v>
      </c>
      <c r="I16" s="5">
        <f>H16*(1+I33)</f>
        <v>152.587890625</v>
      </c>
    </row>
    <row r="17" spans="1:11" ht="12" outlineLevel="1" x14ac:dyDescent="0.25">
      <c r="A17" s="6" t="s">
        <v>16</v>
      </c>
      <c r="B17" s="16">
        <f t="shared" ref="B17:I17" si="4">B15-B16</f>
        <v>130</v>
      </c>
      <c r="C17" s="16">
        <f t="shared" si="4"/>
        <v>147</v>
      </c>
      <c r="D17" s="16">
        <f t="shared" si="4"/>
        <v>184</v>
      </c>
      <c r="E17" s="16">
        <f t="shared" si="4"/>
        <v>179.23007575757569</v>
      </c>
      <c r="F17" s="16">
        <f t="shared" si="4"/>
        <v>189.7921864669421</v>
      </c>
      <c r="G17" s="16">
        <f t="shared" si="4"/>
        <v>199.55420604867106</v>
      </c>
      <c r="H17" s="16">
        <f t="shared" si="4"/>
        <v>207.39567328460743</v>
      </c>
      <c r="I17" s="16">
        <f t="shared" si="4"/>
        <v>212.66887145389575</v>
      </c>
      <c r="J17" s="28"/>
    </row>
    <row r="18" spans="1:11" outlineLevel="1" x14ac:dyDescent="0.2">
      <c r="A18" s="5" t="s">
        <v>7</v>
      </c>
      <c r="B18" s="7">
        <v>30</v>
      </c>
      <c r="C18" s="7">
        <v>34</v>
      </c>
      <c r="D18" s="7">
        <v>38</v>
      </c>
      <c r="E18" s="5">
        <f>E17*E35</f>
        <v>39.943423002836809</v>
      </c>
      <c r="F18" s="5">
        <f>E18*(1+F35)</f>
        <v>48.845260679575702</v>
      </c>
      <c r="G18" s="5">
        <f>F18*(1+G35)</f>
        <v>59.730972247577746</v>
      </c>
      <c r="H18" s="5">
        <f>G18*(1+H35)</f>
        <v>73.042686148110761</v>
      </c>
      <c r="I18" s="5">
        <f>H18*(1+I35)</f>
        <v>89.321064080750318</v>
      </c>
    </row>
    <row r="19" spans="1:11" ht="12" outlineLevel="1" x14ac:dyDescent="0.25">
      <c r="A19" s="6" t="s">
        <v>8</v>
      </c>
      <c r="B19" s="16">
        <f t="shared" ref="B19:I19" si="5">B17-B18</f>
        <v>100</v>
      </c>
      <c r="C19" s="16">
        <f t="shared" si="5"/>
        <v>113</v>
      </c>
      <c r="D19" s="16">
        <f t="shared" si="5"/>
        <v>146</v>
      </c>
      <c r="E19" s="16">
        <f t="shared" si="5"/>
        <v>139.2866527547389</v>
      </c>
      <c r="F19" s="16">
        <f t="shared" si="5"/>
        <v>140.94692578736641</v>
      </c>
      <c r="G19" s="16">
        <f t="shared" si="5"/>
        <v>139.82323380109332</v>
      </c>
      <c r="H19" s="16">
        <f t="shared" si="5"/>
        <v>134.35298713649667</v>
      </c>
      <c r="I19" s="16">
        <f t="shared" si="5"/>
        <v>123.34780737314543</v>
      </c>
      <c r="J19" s="28"/>
    </row>
    <row r="22" spans="1:11" ht="12" outlineLevel="1" x14ac:dyDescent="0.25">
      <c r="A22" s="34" t="s">
        <v>18</v>
      </c>
      <c r="B22" s="30"/>
      <c r="C22" s="30"/>
      <c r="D22" s="30"/>
      <c r="E22" s="30"/>
      <c r="F22" s="30"/>
      <c r="G22" s="30"/>
      <c r="H22" s="30"/>
      <c r="I22" s="30"/>
      <c r="J22" s="30"/>
      <c r="K22" s="30"/>
    </row>
    <row r="23" spans="1:11" outlineLevel="1" x14ac:dyDescent="0.2"/>
    <row r="24" spans="1:11" ht="12" outlineLevel="1" x14ac:dyDescent="0.25">
      <c r="B24" s="15" t="s">
        <v>10</v>
      </c>
      <c r="C24" s="15" t="s">
        <v>11</v>
      </c>
      <c r="D24" s="15" t="s">
        <v>12</v>
      </c>
      <c r="E24" s="15" t="s">
        <v>13</v>
      </c>
      <c r="F24" s="15" t="s">
        <v>14</v>
      </c>
      <c r="G24" s="15" t="s">
        <v>15</v>
      </c>
      <c r="H24" s="15" t="s">
        <v>46</v>
      </c>
      <c r="I24" s="15" t="s">
        <v>47</v>
      </c>
      <c r="K24" s="23" t="s">
        <v>18</v>
      </c>
    </row>
    <row r="25" spans="1:11" s="9" customFormat="1" ht="10.199999999999999" outlineLevel="1" x14ac:dyDescent="0.2">
      <c r="A25" s="23" t="s">
        <v>0</v>
      </c>
      <c r="B25" s="11"/>
      <c r="C25" s="11">
        <f>C8/B8-1</f>
        <v>0.10000000000000009</v>
      </c>
      <c r="D25" s="11">
        <f>D8/C8-1</f>
        <v>9.0909090909090828E-2</v>
      </c>
      <c r="E25" s="12">
        <f>AVERAGE(C25:D25)</f>
        <v>9.5454545454545459E-2</v>
      </c>
      <c r="F25" s="12">
        <f>AVERAGE(D25:E25)</f>
        <v>9.3181818181818143E-2</v>
      </c>
      <c r="G25" s="12">
        <f t="shared" ref="G25:I25" si="6">AVERAGE(E25:F25)</f>
        <v>9.4318181818181801E-2</v>
      </c>
      <c r="H25" s="12">
        <f t="shared" si="6"/>
        <v>9.3749999999999972E-2</v>
      </c>
      <c r="I25" s="12">
        <f t="shared" si="6"/>
        <v>9.4034090909090887E-2</v>
      </c>
      <c r="J25" s="27"/>
      <c r="K25" s="9" t="s">
        <v>40</v>
      </c>
    </row>
    <row r="26" spans="1:11" s="9" customFormat="1" ht="10.199999999999999" outlineLevel="1" x14ac:dyDescent="0.2">
      <c r="A26" s="10" t="s">
        <v>1</v>
      </c>
      <c r="B26" s="11">
        <f>B9/B8</f>
        <v>0.5</v>
      </c>
      <c r="C26" s="11">
        <f>C9/C8</f>
        <v>0.5</v>
      </c>
      <c r="D26" s="11">
        <f>D9/D8</f>
        <v>0.48333333333333334</v>
      </c>
      <c r="E26" s="12">
        <f>AVERAGE(B26:D26)</f>
        <v>0.49444444444444446</v>
      </c>
      <c r="F26" s="12">
        <f>E26</f>
        <v>0.49444444444444446</v>
      </c>
      <c r="G26" s="12">
        <f>F26</f>
        <v>0.49444444444444446</v>
      </c>
      <c r="H26" s="12">
        <f>G26</f>
        <v>0.49444444444444446</v>
      </c>
      <c r="I26" s="12">
        <f>H26</f>
        <v>0.49444444444444446</v>
      </c>
      <c r="J26" s="27"/>
      <c r="K26" s="9" t="s">
        <v>39</v>
      </c>
    </row>
    <row r="27" spans="1:11" s="11" customFormat="1" ht="10.199999999999999" outlineLevel="1" x14ac:dyDescent="0.2">
      <c r="A27" s="23" t="s">
        <v>2</v>
      </c>
      <c r="B27" s="11">
        <f t="shared" ref="B27:I27" si="7">B10/B8</f>
        <v>0.5</v>
      </c>
      <c r="C27" s="11">
        <f t="shared" si="7"/>
        <v>0.5</v>
      </c>
      <c r="D27" s="11">
        <f t="shared" si="7"/>
        <v>0.51666666666666672</v>
      </c>
      <c r="E27" s="11">
        <f t="shared" si="7"/>
        <v>0.50555555555555554</v>
      </c>
      <c r="F27" s="11">
        <f t="shared" si="7"/>
        <v>0.50555555555555554</v>
      </c>
      <c r="G27" s="11">
        <f t="shared" si="7"/>
        <v>0.50555555555555554</v>
      </c>
      <c r="H27" s="11">
        <f t="shared" si="7"/>
        <v>0.50555555555555554</v>
      </c>
      <c r="I27" s="11">
        <f t="shared" si="7"/>
        <v>0.50555555555555554</v>
      </c>
      <c r="J27" s="29"/>
    </row>
    <row r="28" spans="1:11" s="14" customFormat="1" ht="10.199999999999999" outlineLevel="1" x14ac:dyDescent="0.2">
      <c r="A28" s="10" t="s">
        <v>50</v>
      </c>
      <c r="B28" s="11">
        <f>B11/B8</f>
        <v>0.3</v>
      </c>
      <c r="C28" s="11">
        <f>C11/C8</f>
        <v>0.29090909090909089</v>
      </c>
      <c r="D28" s="11">
        <f>D11/D8</f>
        <v>0.28333333333333333</v>
      </c>
      <c r="E28" s="12">
        <f>D28-0.5%</f>
        <v>0.27833333333333332</v>
      </c>
      <c r="F28" s="12">
        <f>E28-0.5%</f>
        <v>0.27333333333333332</v>
      </c>
      <c r="G28" s="12">
        <f>F28-0.5%</f>
        <v>0.26833333333333331</v>
      </c>
      <c r="H28" s="12">
        <f>G28-0.5%</f>
        <v>0.26333333333333331</v>
      </c>
      <c r="I28" s="12">
        <f>H28-0.5%</f>
        <v>0.2583333333333333</v>
      </c>
      <c r="J28" s="27"/>
      <c r="K28" s="11" t="s">
        <v>52</v>
      </c>
    </row>
    <row r="29" spans="1:11" s="14" customFormat="1" ht="10.199999999999999" outlineLevel="1" x14ac:dyDescent="0.2">
      <c r="A29" s="10" t="s">
        <v>51</v>
      </c>
      <c r="B29" s="11"/>
      <c r="C29" s="11">
        <f>C12/B12-1</f>
        <v>6.6666666666666652E-2</v>
      </c>
      <c r="D29" s="11">
        <f>D12/C12-1</f>
        <v>6.25E-2</v>
      </c>
      <c r="E29" s="12">
        <f>D29+0.5%</f>
        <v>6.7500000000000004E-2</v>
      </c>
      <c r="F29" s="12">
        <f t="shared" ref="F29:I29" si="8">E29+0.5%</f>
        <v>7.2500000000000009E-2</v>
      </c>
      <c r="G29" s="12">
        <f t="shared" si="8"/>
        <v>7.7500000000000013E-2</v>
      </c>
      <c r="H29" s="12">
        <f t="shared" si="8"/>
        <v>8.2500000000000018E-2</v>
      </c>
      <c r="I29" s="12">
        <f t="shared" si="8"/>
        <v>8.7500000000000022E-2</v>
      </c>
      <c r="J29" s="27"/>
      <c r="K29" s="11" t="s">
        <v>53</v>
      </c>
    </row>
    <row r="30" spans="1:11" s="14" customFormat="1" ht="10.199999999999999" outlineLevel="1" x14ac:dyDescent="0.2">
      <c r="A30" s="23" t="s">
        <v>5</v>
      </c>
      <c r="B30" s="11">
        <f t="shared" ref="B30:I30" si="9">B13/B8</f>
        <v>0.17</v>
      </c>
      <c r="C30" s="11">
        <f t="shared" si="9"/>
        <v>0.18</v>
      </c>
      <c r="D30" s="11">
        <f t="shared" si="9"/>
        <v>0.20499999999999999</v>
      </c>
      <c r="E30" s="11">
        <f t="shared" si="9"/>
        <v>0.19384722222222217</v>
      </c>
      <c r="F30" s="11">
        <f t="shared" si="9"/>
        <v>0.19637499999999997</v>
      </c>
      <c r="G30" s="11">
        <f t="shared" si="9"/>
        <v>0.19890277777777776</v>
      </c>
      <c r="H30" s="11">
        <f t="shared" si="9"/>
        <v>0.20143055555555556</v>
      </c>
      <c r="I30" s="11">
        <f t="shared" si="9"/>
        <v>0.2039583333333333</v>
      </c>
      <c r="J30" s="29"/>
    </row>
    <row r="31" spans="1:11" s="11" customFormat="1" ht="10.199999999999999" outlineLevel="1" x14ac:dyDescent="0.2">
      <c r="A31" s="10" t="s">
        <v>3</v>
      </c>
      <c r="C31" s="11">
        <f>C14/B14-1</f>
        <v>0.10000000000000009</v>
      </c>
      <c r="D31" s="11">
        <f>D14/C14-1</f>
        <v>9.0909090909090828E-2</v>
      </c>
      <c r="E31" s="12">
        <f>D31</f>
        <v>9.0909090909090828E-2</v>
      </c>
      <c r="F31" s="12">
        <f>E31</f>
        <v>9.0909090909090828E-2</v>
      </c>
      <c r="G31" s="12">
        <f>F31</f>
        <v>9.0909090909090828E-2</v>
      </c>
      <c r="H31" s="12">
        <f>G31</f>
        <v>9.0909090909090828E-2</v>
      </c>
      <c r="I31" s="12">
        <f>H31</f>
        <v>9.0909090909090828E-2</v>
      </c>
      <c r="J31" s="27"/>
      <c r="K31" s="11" t="s">
        <v>54</v>
      </c>
    </row>
    <row r="32" spans="1:11" s="14" customFormat="1" ht="10.199999999999999" outlineLevel="1" x14ac:dyDescent="0.2">
      <c r="A32" s="23" t="s">
        <v>4</v>
      </c>
      <c r="B32" s="11">
        <f>B15/B8</f>
        <v>0.16</v>
      </c>
      <c r="C32" s="11">
        <f t="shared" ref="C32:I32" si="10">C15/C8</f>
        <v>0.17</v>
      </c>
      <c r="D32" s="11">
        <f t="shared" si="10"/>
        <v>0.19500000000000001</v>
      </c>
      <c r="E32" s="11">
        <f t="shared" si="10"/>
        <v>0.18388871599815579</v>
      </c>
      <c r="F32" s="11">
        <f t="shared" si="10"/>
        <v>0.18643719753107715</v>
      </c>
      <c r="G32" s="11">
        <f t="shared" si="10"/>
        <v>0.18899593419505098</v>
      </c>
      <c r="H32" s="11">
        <f t="shared" si="10"/>
        <v>0.19154944403408264</v>
      </c>
      <c r="I32" s="11">
        <f t="shared" si="10"/>
        <v>0.19410544622804737</v>
      </c>
      <c r="J32" s="29"/>
    </row>
    <row r="33" spans="1:11" s="11" customFormat="1" ht="10.199999999999999" outlineLevel="1" x14ac:dyDescent="0.2">
      <c r="A33" s="10" t="s">
        <v>6</v>
      </c>
      <c r="C33" s="11">
        <f>C16/B16-1</f>
        <v>0.33333333333333326</v>
      </c>
      <c r="D33" s="11">
        <f>D16/C16-1</f>
        <v>0.25</v>
      </c>
      <c r="E33" s="12">
        <f>D33</f>
        <v>0.25</v>
      </c>
      <c r="F33" s="12">
        <f>E33</f>
        <v>0.25</v>
      </c>
      <c r="G33" s="12">
        <f>F33</f>
        <v>0.25</v>
      </c>
      <c r="H33" s="12">
        <f>G33</f>
        <v>0.25</v>
      </c>
      <c r="I33" s="12">
        <f>H33</f>
        <v>0.25</v>
      </c>
      <c r="J33" s="27"/>
      <c r="K33" s="11" t="s">
        <v>54</v>
      </c>
    </row>
    <row r="34" spans="1:11" s="14" customFormat="1" ht="10.199999999999999" outlineLevel="1" x14ac:dyDescent="0.2">
      <c r="A34" s="23" t="s">
        <v>16</v>
      </c>
      <c r="B34" s="11">
        <f t="shared" ref="B34:I34" si="11">B17/B8</f>
        <v>0.13</v>
      </c>
      <c r="C34" s="11">
        <f t="shared" si="11"/>
        <v>0.13363636363636364</v>
      </c>
      <c r="D34" s="11">
        <f t="shared" si="11"/>
        <v>0.15333333333333332</v>
      </c>
      <c r="E34" s="11">
        <f t="shared" si="11"/>
        <v>0.13634376440756105</v>
      </c>
      <c r="F34" s="11">
        <f t="shared" si="11"/>
        <v>0.13207186826948233</v>
      </c>
      <c r="G34" s="11">
        <f t="shared" si="11"/>
        <v>0.1268963888287433</v>
      </c>
      <c r="H34" s="11">
        <f t="shared" si="11"/>
        <v>0.12057853504401671</v>
      </c>
      <c r="I34" s="11">
        <f t="shared" si="11"/>
        <v>0.11301689791428729</v>
      </c>
      <c r="J34" s="29"/>
    </row>
    <row r="35" spans="1:11" s="14" customFormat="1" ht="10.199999999999999" outlineLevel="1" x14ac:dyDescent="0.2">
      <c r="A35" s="10" t="s">
        <v>7</v>
      </c>
      <c r="B35" s="11">
        <f>B18/B17</f>
        <v>0.23076923076923078</v>
      </c>
      <c r="C35" s="11">
        <f>C18/C17</f>
        <v>0.23129251700680273</v>
      </c>
      <c r="D35" s="11">
        <f>D18/D17</f>
        <v>0.20652173913043478</v>
      </c>
      <c r="E35" s="12">
        <f>AVERAGE($B$35:$D$35)</f>
        <v>0.22286116230215611</v>
      </c>
      <c r="F35" s="12">
        <f>AVERAGE($B$35:$D$35)</f>
        <v>0.22286116230215611</v>
      </c>
      <c r="G35" s="12">
        <f>AVERAGE($B$35:$D$35)</f>
        <v>0.22286116230215611</v>
      </c>
      <c r="H35" s="12">
        <f>AVERAGE($B$35:$D$35)</f>
        <v>0.22286116230215611</v>
      </c>
      <c r="I35" s="12">
        <f>AVERAGE($B$35:$D$35)</f>
        <v>0.22286116230215611</v>
      </c>
      <c r="J35" s="27"/>
      <c r="K35" s="9" t="s">
        <v>42</v>
      </c>
    </row>
    <row r="36" spans="1:11" s="10" customFormat="1" ht="10.199999999999999" outlineLevel="1" x14ac:dyDescent="0.2">
      <c r="A36" s="23" t="s">
        <v>8</v>
      </c>
      <c r="B36" s="11">
        <f t="shared" ref="B36:I36" si="12">B19/B8</f>
        <v>0.1</v>
      </c>
      <c r="C36" s="11">
        <f t="shared" si="12"/>
        <v>0.10272727272727272</v>
      </c>
      <c r="D36" s="11">
        <f t="shared" si="12"/>
        <v>0.12166666666666667</v>
      </c>
      <c r="E36" s="11">
        <f t="shared" si="12"/>
        <v>0.10595803459904066</v>
      </c>
      <c r="F36" s="11">
        <f t="shared" si="12"/>
        <v>9.8081613169148735E-2</v>
      </c>
      <c r="G36" s="11">
        <f t="shared" si="12"/>
        <v>8.8913502727115179E-2</v>
      </c>
      <c r="H36" s="11">
        <f t="shared" si="12"/>
        <v>7.8111978476403124E-2</v>
      </c>
      <c r="I36" s="11">
        <f t="shared" si="12"/>
        <v>6.5549727416802844E-2</v>
      </c>
      <c r="J36" s="29"/>
    </row>
  </sheetData>
  <mergeCells count="1">
    <mergeCell ref="A1:K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C4DF-4E7A-431D-8FB3-73E2DFDF64D8}">
  <sheetPr>
    <tabColor theme="4" tint="0.79998168889431442"/>
  </sheetPr>
  <dimension ref="A1:O19"/>
  <sheetViews>
    <sheetView showGridLines="0" zoomScale="97" zoomScaleNormal="70" workbookViewId="0">
      <selection activeCell="F15" sqref="F15"/>
    </sheetView>
  </sheetViews>
  <sheetFormatPr defaultRowHeight="11.4" x14ac:dyDescent="0.2"/>
  <cols>
    <col min="1" max="1" width="29.88671875" style="5" bestFit="1" customWidth="1"/>
    <col min="2" max="9" width="8.88671875" style="5"/>
    <col min="10" max="10" width="3" style="26" customWidth="1"/>
    <col min="11" max="11" width="8.88671875" style="5"/>
    <col min="12" max="12" width="3" style="26" customWidth="1"/>
    <col min="13" max="13" width="48" style="10" bestFit="1" customWidth="1"/>
    <col min="14" max="16384" width="8.88671875" style="5"/>
  </cols>
  <sheetData>
    <row r="1" spans="1:15" ht="86.7" customHeight="1" x14ac:dyDescent="0.2">
      <c r="A1" s="66" t="s">
        <v>114</v>
      </c>
      <c r="B1" s="67"/>
      <c r="C1" s="67"/>
      <c r="D1" s="67"/>
      <c r="E1" s="67"/>
      <c r="F1" s="67"/>
      <c r="G1" s="67"/>
      <c r="H1" s="67"/>
      <c r="I1" s="67"/>
      <c r="J1" s="67"/>
      <c r="K1" s="67"/>
      <c r="L1" s="67"/>
      <c r="M1" s="67"/>
      <c r="N1" s="67"/>
      <c r="O1" s="68"/>
    </row>
    <row r="3" spans="1:15" ht="12" x14ac:dyDescent="0.25">
      <c r="A3" s="34" t="s">
        <v>70</v>
      </c>
      <c r="B3" s="30"/>
      <c r="C3" s="30"/>
      <c r="D3" s="30"/>
      <c r="E3" s="30"/>
      <c r="F3" s="30"/>
      <c r="G3" s="30"/>
      <c r="H3" s="30"/>
      <c r="I3" s="30"/>
      <c r="J3" s="30"/>
      <c r="K3" s="33"/>
      <c r="L3" s="5"/>
      <c r="M3" s="5"/>
    </row>
    <row r="4" spans="1:15" x14ac:dyDescent="0.2">
      <c r="A4" s="32" t="s">
        <v>69</v>
      </c>
      <c r="J4" s="5"/>
      <c r="K4" s="10"/>
      <c r="L4" s="5"/>
      <c r="M4" s="5"/>
    </row>
    <row r="6" spans="1:15" ht="12" x14ac:dyDescent="0.25">
      <c r="B6" s="15" t="s">
        <v>10</v>
      </c>
      <c r="C6" s="15" t="s">
        <v>11</v>
      </c>
      <c r="D6" s="15" t="s">
        <v>12</v>
      </c>
      <c r="E6" s="15" t="s">
        <v>13</v>
      </c>
      <c r="F6" s="15" t="s">
        <v>14</v>
      </c>
      <c r="G6" s="15" t="s">
        <v>15</v>
      </c>
      <c r="H6" s="15" t="s">
        <v>46</v>
      </c>
      <c r="I6" s="15" t="s">
        <v>47</v>
      </c>
      <c r="J6" s="25"/>
      <c r="K6" s="15" t="s">
        <v>55</v>
      </c>
      <c r="L6" s="25"/>
      <c r="M6" s="23" t="s">
        <v>18</v>
      </c>
    </row>
    <row r="7" spans="1:15" x14ac:dyDescent="0.2">
      <c r="M7" s="9"/>
    </row>
    <row r="8" spans="1:15" ht="12" x14ac:dyDescent="0.25">
      <c r="A8" s="6" t="s">
        <v>0</v>
      </c>
      <c r="B8" s="7">
        <v>1000</v>
      </c>
      <c r="C8" s="7">
        <v>1100</v>
      </c>
      <c r="D8" s="7">
        <v>1200</v>
      </c>
      <c r="E8" s="5">
        <f>D8*(1+$K8)</f>
        <v>1314.5341380123987</v>
      </c>
      <c r="F8" s="5">
        <f t="shared" ref="F8:I8" si="0">E8*(1+$K8)</f>
        <v>1440</v>
      </c>
      <c r="G8" s="5">
        <f t="shared" si="0"/>
        <v>1577.4409656148782</v>
      </c>
      <c r="H8" s="5">
        <f t="shared" si="0"/>
        <v>1727.9999999999998</v>
      </c>
      <c r="I8" s="5">
        <f t="shared" si="0"/>
        <v>1892.9291587378536</v>
      </c>
      <c r="K8" s="12">
        <f>(D8/B8)^(1/2)-1</f>
        <v>9.5445115010332149E-2</v>
      </c>
      <c r="M8" s="9" t="s">
        <v>56</v>
      </c>
    </row>
    <row r="9" spans="1:15" x14ac:dyDescent="0.2">
      <c r="A9" s="5" t="s">
        <v>1</v>
      </c>
      <c r="B9" s="7">
        <v>500</v>
      </c>
      <c r="C9" s="7">
        <v>550</v>
      </c>
      <c r="D9" s="7">
        <v>580</v>
      </c>
      <c r="E9" s="5">
        <f t="shared" ref="E9:I9" si="1">D9*(1+$K9)</f>
        <v>635.35816670599263</v>
      </c>
      <c r="F9" s="5">
        <f t="shared" si="1"/>
        <v>695.99999999999989</v>
      </c>
      <c r="G9" s="5">
        <f t="shared" si="1"/>
        <v>762.42980004719107</v>
      </c>
      <c r="H9" s="5">
        <f t="shared" si="1"/>
        <v>835.1999999999997</v>
      </c>
      <c r="I9" s="5">
        <f t="shared" si="1"/>
        <v>914.9157600566291</v>
      </c>
      <c r="K9" s="12">
        <f>K8</f>
        <v>9.5445115010332149E-2</v>
      </c>
      <c r="M9" s="9" t="s">
        <v>61</v>
      </c>
    </row>
    <row r="10" spans="1:15" ht="12" x14ac:dyDescent="0.25">
      <c r="A10" s="6" t="s">
        <v>2</v>
      </c>
      <c r="B10" s="16">
        <f>B8-B9</f>
        <v>500</v>
      </c>
      <c r="C10" s="16">
        <f>C8-C9</f>
        <v>550</v>
      </c>
      <c r="D10" s="16">
        <f>D8-D9</f>
        <v>620</v>
      </c>
      <c r="E10" s="16">
        <f t="shared" ref="E10:I10" si="2">E8-E9</f>
        <v>679.17597130640604</v>
      </c>
      <c r="F10" s="16">
        <f t="shared" si="2"/>
        <v>744.00000000000011</v>
      </c>
      <c r="G10" s="16">
        <f t="shared" si="2"/>
        <v>815.01116556768716</v>
      </c>
      <c r="H10" s="16">
        <f t="shared" si="2"/>
        <v>892.80000000000007</v>
      </c>
      <c r="I10" s="16">
        <f t="shared" si="2"/>
        <v>978.01339868122454</v>
      </c>
      <c r="J10" s="28"/>
      <c r="K10" s="24"/>
      <c r="L10" s="28"/>
      <c r="M10" s="11"/>
    </row>
    <row r="11" spans="1:15" x14ac:dyDescent="0.2">
      <c r="A11" s="5" t="s">
        <v>50</v>
      </c>
      <c r="B11" s="7">
        <v>300</v>
      </c>
      <c r="C11" s="7">
        <v>320</v>
      </c>
      <c r="D11" s="7">
        <v>340</v>
      </c>
      <c r="E11" s="5">
        <f t="shared" ref="E11:I11" si="3">D11*(1+$K11)</f>
        <v>357</v>
      </c>
      <c r="F11" s="5">
        <f t="shared" si="3"/>
        <v>374.85</v>
      </c>
      <c r="G11" s="5">
        <f t="shared" si="3"/>
        <v>393.59250000000003</v>
      </c>
      <c r="H11" s="5">
        <f t="shared" si="3"/>
        <v>413.27212500000007</v>
      </c>
      <c r="I11" s="5">
        <f t="shared" si="3"/>
        <v>433.93573125000012</v>
      </c>
      <c r="K11" s="12">
        <v>0.05</v>
      </c>
      <c r="M11" s="11" t="s">
        <v>57</v>
      </c>
    </row>
    <row r="12" spans="1:15" x14ac:dyDescent="0.2">
      <c r="A12" s="5" t="s">
        <v>51</v>
      </c>
      <c r="B12" s="7">
        <v>30</v>
      </c>
      <c r="C12" s="7">
        <v>32</v>
      </c>
      <c r="D12" s="7">
        <v>34</v>
      </c>
      <c r="E12" s="5">
        <f t="shared" ref="E12:I12" si="4">D12*(1+$K12)</f>
        <v>36.380000000000003</v>
      </c>
      <c r="F12" s="5">
        <f t="shared" si="4"/>
        <v>38.926600000000008</v>
      </c>
      <c r="G12" s="5">
        <f t="shared" si="4"/>
        <v>41.651462000000009</v>
      </c>
      <c r="H12" s="5">
        <f t="shared" si="4"/>
        <v>44.567064340000016</v>
      </c>
      <c r="I12" s="5">
        <f t="shared" si="4"/>
        <v>47.686758843800021</v>
      </c>
      <c r="K12" s="12">
        <v>7.0000000000000007E-2</v>
      </c>
      <c r="M12" s="11" t="s">
        <v>58</v>
      </c>
    </row>
    <row r="13" spans="1:15" ht="12" x14ac:dyDescent="0.25">
      <c r="A13" s="6" t="s">
        <v>5</v>
      </c>
      <c r="B13" s="16">
        <f>B10-B11-B12</f>
        <v>170</v>
      </c>
      <c r="C13" s="16">
        <f t="shared" ref="C13:D13" si="5">C10-C11-C12</f>
        <v>198</v>
      </c>
      <c r="D13" s="16">
        <f t="shared" si="5"/>
        <v>246</v>
      </c>
      <c r="E13" s="16">
        <f t="shared" ref="E13" si="6">E10-E11-E12</f>
        <v>285.79597130640605</v>
      </c>
      <c r="F13" s="16">
        <f t="shared" ref="F13" si="7">F10-F11-F12</f>
        <v>330.22340000000008</v>
      </c>
      <c r="G13" s="16">
        <f t="shared" ref="G13" si="8">G10-G11-G12</f>
        <v>379.76720356768715</v>
      </c>
      <c r="H13" s="16">
        <f t="shared" ref="H13" si="9">H10-H11-H12</f>
        <v>434.96081065999999</v>
      </c>
      <c r="I13" s="16">
        <f t="shared" ref="I13" si="10">I10-I11-I12</f>
        <v>496.39090858742441</v>
      </c>
      <c r="J13" s="28"/>
      <c r="K13" s="24"/>
      <c r="L13" s="28"/>
    </row>
    <row r="14" spans="1:15" x14ac:dyDescent="0.2">
      <c r="A14" s="5" t="s">
        <v>3</v>
      </c>
      <c r="B14" s="7">
        <v>10</v>
      </c>
      <c r="C14" s="7">
        <v>11</v>
      </c>
      <c r="D14" s="7">
        <v>12</v>
      </c>
      <c r="E14" s="5">
        <f t="shared" ref="E14:I14" si="11">D14*(1+$K14)</f>
        <v>12</v>
      </c>
      <c r="F14" s="5">
        <f t="shared" si="11"/>
        <v>12</v>
      </c>
      <c r="G14" s="5">
        <f t="shared" si="11"/>
        <v>12</v>
      </c>
      <c r="H14" s="5">
        <f t="shared" si="11"/>
        <v>12</v>
      </c>
      <c r="I14" s="5">
        <f t="shared" si="11"/>
        <v>12</v>
      </c>
      <c r="K14" s="12">
        <f>J13</f>
        <v>0</v>
      </c>
      <c r="M14" s="11" t="s">
        <v>54</v>
      </c>
    </row>
    <row r="15" spans="1:15" ht="12" x14ac:dyDescent="0.25">
      <c r="A15" s="6" t="s">
        <v>4</v>
      </c>
      <c r="B15" s="16">
        <f>B13-B14</f>
        <v>160</v>
      </c>
      <c r="C15" s="16">
        <f>C13-C14</f>
        <v>187</v>
      </c>
      <c r="D15" s="16">
        <f>D13-D14</f>
        <v>234</v>
      </c>
      <c r="E15" s="16">
        <f t="shared" ref="E15:I15" si="12">E13-E14</f>
        <v>273.79597130640605</v>
      </c>
      <c r="F15" s="16">
        <f t="shared" si="12"/>
        <v>318.22340000000008</v>
      </c>
      <c r="G15" s="16">
        <f t="shared" si="12"/>
        <v>367.76720356768715</v>
      </c>
      <c r="H15" s="16">
        <f t="shared" si="12"/>
        <v>422.96081065999999</v>
      </c>
      <c r="I15" s="16">
        <f t="shared" si="12"/>
        <v>484.39090858742441</v>
      </c>
      <c r="J15" s="28"/>
      <c r="K15" s="24"/>
      <c r="L15" s="28"/>
      <c r="M15" s="14"/>
    </row>
    <row r="16" spans="1:15" x14ac:dyDescent="0.2">
      <c r="A16" s="5" t="s">
        <v>6</v>
      </c>
      <c r="B16" s="7">
        <v>30</v>
      </c>
      <c r="C16" s="7">
        <v>40</v>
      </c>
      <c r="D16" s="7">
        <v>50</v>
      </c>
      <c r="E16" s="5">
        <f t="shared" ref="E16:I16" si="13">D16*(1+$K16)</f>
        <v>49.5</v>
      </c>
      <c r="F16" s="5">
        <f t="shared" si="13"/>
        <v>49.005000000000003</v>
      </c>
      <c r="G16" s="5">
        <f t="shared" si="13"/>
        <v>48.514949999999999</v>
      </c>
      <c r="H16" s="5">
        <f t="shared" si="13"/>
        <v>48.0298005</v>
      </c>
      <c r="I16" s="5">
        <f t="shared" si="13"/>
        <v>47.549502494999999</v>
      </c>
      <c r="K16" s="12">
        <v>-0.01</v>
      </c>
      <c r="M16" s="11" t="s">
        <v>59</v>
      </c>
    </row>
    <row r="17" spans="1:13" ht="12" x14ac:dyDescent="0.25">
      <c r="A17" s="6" t="s">
        <v>16</v>
      </c>
      <c r="B17" s="16">
        <f>B15-B16</f>
        <v>130</v>
      </c>
      <c r="C17" s="16">
        <f>C15-C16</f>
        <v>147</v>
      </c>
      <c r="D17" s="16">
        <f>D15-D16</f>
        <v>184</v>
      </c>
      <c r="E17" s="16">
        <f t="shared" ref="E17:I17" si="14">E15-E16</f>
        <v>224.29597130640605</v>
      </c>
      <c r="F17" s="16">
        <f t="shared" si="14"/>
        <v>269.21840000000009</v>
      </c>
      <c r="G17" s="16">
        <f t="shared" si="14"/>
        <v>319.25225356768715</v>
      </c>
      <c r="H17" s="16">
        <f t="shared" si="14"/>
        <v>374.93101015999997</v>
      </c>
      <c r="I17" s="16">
        <f t="shared" si="14"/>
        <v>436.84140609242439</v>
      </c>
      <c r="J17" s="28"/>
      <c r="K17" s="24"/>
      <c r="L17" s="28"/>
      <c r="M17" s="14"/>
    </row>
    <row r="18" spans="1:13" x14ac:dyDescent="0.2">
      <c r="A18" s="5" t="s">
        <v>7</v>
      </c>
      <c r="B18" s="7">
        <v>30</v>
      </c>
      <c r="C18" s="7">
        <v>34</v>
      </c>
      <c r="D18" s="7">
        <v>38</v>
      </c>
      <c r="E18" s="5">
        <f>AVERAGE(($B$18/$B$17),($C$18/$C$17),($D$18/$D$17))*E17</f>
        <v>49.986860865036704</v>
      </c>
      <c r="F18" s="5">
        <f t="shared" ref="F18:I18" si="15">AVERAGE(($B$18/$B$17),($C$18/$C$17),($D$18/$D$17))*F17</f>
        <v>59.998325537126803</v>
      </c>
      <c r="G18" s="5">
        <f t="shared" si="15"/>
        <v>71.148928297677415</v>
      </c>
      <c r="H18" s="5">
        <f t="shared" si="15"/>
        <v>83.557560707379096</v>
      </c>
      <c r="I18" s="5">
        <f t="shared" si="15"/>
        <v>97.354983503465874</v>
      </c>
      <c r="K18" s="24"/>
      <c r="M18" s="11" t="s">
        <v>60</v>
      </c>
    </row>
    <row r="19" spans="1:13" ht="12" x14ac:dyDescent="0.25">
      <c r="A19" s="6" t="s">
        <v>8</v>
      </c>
      <c r="B19" s="16">
        <f>B17-B18</f>
        <v>100</v>
      </c>
      <c r="C19" s="16">
        <f>C17-C18</f>
        <v>113</v>
      </c>
      <c r="D19" s="16">
        <f>D17-D18</f>
        <v>146</v>
      </c>
      <c r="E19" s="16">
        <f t="shared" ref="E19:I19" si="16">E17-E18</f>
        <v>174.30911044136934</v>
      </c>
      <c r="F19" s="16">
        <f t="shared" si="16"/>
        <v>209.2200744628733</v>
      </c>
      <c r="G19" s="16">
        <f t="shared" si="16"/>
        <v>248.10332527000975</v>
      </c>
      <c r="H19" s="16">
        <f t="shared" si="16"/>
        <v>291.37344945262089</v>
      </c>
      <c r="I19" s="16">
        <f t="shared" si="16"/>
        <v>339.48642258895853</v>
      </c>
      <c r="J19" s="28"/>
      <c r="K19" s="24"/>
      <c r="L19" s="28"/>
    </row>
  </sheetData>
  <mergeCells count="1">
    <mergeCell ref="A1:O1"/>
  </mergeCells>
  <pageMargins left="0.7" right="0.7" top="0.75" bottom="0.75" header="0.3" footer="0.3"/>
  <ignoredErrors>
    <ignoredError sqref="E10:I18" formula="1"/>
  </ignoredError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A322-B2AC-4376-A18E-7141C0B8FDFA}">
  <sheetPr>
    <tabColor rgb="FF002060"/>
  </sheetPr>
  <dimension ref="A1"/>
  <sheetViews>
    <sheetView showGridLines="0" workbookViewId="0">
      <selection activeCell="L26" sqref="L26"/>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2A7C-2FF1-438D-8CCB-0EA282FF0CBD}">
  <sheetPr>
    <tabColor theme="7" tint="0.59999389629810485"/>
  </sheetPr>
  <dimension ref="A1:O98"/>
  <sheetViews>
    <sheetView showGridLines="0" topLeftCell="A57" zoomScale="77" workbookViewId="0">
      <selection activeCell="A77" sqref="A77"/>
    </sheetView>
  </sheetViews>
  <sheetFormatPr defaultRowHeight="11.4" outlineLevelRow="1" x14ac:dyDescent="0.2"/>
  <cols>
    <col min="1" max="1" width="39.33203125" style="1" bestFit="1" customWidth="1"/>
    <col min="2" max="3" width="8.88671875" style="1"/>
    <col min="4" max="4" width="9.33203125" style="1" bestFit="1" customWidth="1"/>
    <col min="5" max="9" width="9.21875" style="1" bestFit="1" customWidth="1"/>
    <col min="10" max="10" width="3.109375" style="1" customWidth="1"/>
    <col min="11" max="11" width="65" style="45" customWidth="1"/>
    <col min="12" max="14" width="8.88671875" style="1"/>
    <col min="15" max="15" width="78.6640625" style="1" customWidth="1"/>
    <col min="16" max="16384" width="8.88671875" style="1"/>
  </cols>
  <sheetData>
    <row r="1" spans="1:15" ht="107.1" customHeight="1" x14ac:dyDescent="0.2">
      <c r="A1" s="70" t="s">
        <v>113</v>
      </c>
      <c r="B1" s="70"/>
      <c r="C1" s="70"/>
      <c r="D1" s="70"/>
      <c r="E1" s="70"/>
      <c r="F1" s="70"/>
      <c r="G1" s="70"/>
      <c r="H1" s="70"/>
      <c r="I1" s="70"/>
      <c r="J1" s="70"/>
      <c r="K1" s="70"/>
    </row>
    <row r="3" spans="1:15" ht="12" x14ac:dyDescent="0.25">
      <c r="A3" s="69" t="s">
        <v>117</v>
      </c>
      <c r="B3" s="69"/>
      <c r="C3" s="69"/>
      <c r="D3" s="69"/>
      <c r="E3" s="69"/>
      <c r="F3" s="69"/>
      <c r="G3" s="69"/>
      <c r="H3" s="69"/>
      <c r="I3" s="69"/>
      <c r="J3" s="55"/>
      <c r="K3" s="56"/>
      <c r="L3" s="55"/>
      <c r="M3" s="55"/>
      <c r="N3" s="55"/>
      <c r="O3" s="55"/>
    </row>
    <row r="4" spans="1:15" outlineLevel="1" x14ac:dyDescent="0.2">
      <c r="A4" s="32" t="s">
        <v>69</v>
      </c>
    </row>
    <row r="5" spans="1:15" outlineLevel="1" x14ac:dyDescent="0.2"/>
    <row r="6" spans="1:15" ht="12" outlineLevel="1" x14ac:dyDescent="0.25">
      <c r="B6" s="15" t="s">
        <v>10</v>
      </c>
      <c r="C6" s="15" t="s">
        <v>11</v>
      </c>
      <c r="D6" s="15" t="s">
        <v>12</v>
      </c>
      <c r="E6" s="15" t="s">
        <v>13</v>
      </c>
      <c r="F6" s="15" t="s">
        <v>14</v>
      </c>
      <c r="G6" s="15" t="s">
        <v>15</v>
      </c>
      <c r="H6" s="15" t="s">
        <v>46</v>
      </c>
      <c r="I6" s="15" t="s">
        <v>47</v>
      </c>
      <c r="K6" s="47" t="s">
        <v>25</v>
      </c>
    </row>
    <row r="7" spans="1:15" ht="12" outlineLevel="1" x14ac:dyDescent="0.25">
      <c r="A7" s="38" t="s">
        <v>20</v>
      </c>
      <c r="B7" s="39"/>
      <c r="C7" s="39"/>
      <c r="D7" s="39"/>
      <c r="E7" s="39"/>
      <c r="F7" s="39"/>
      <c r="G7" s="39"/>
      <c r="H7" s="39"/>
      <c r="I7" s="39"/>
    </row>
    <row r="8" spans="1:15" ht="12" outlineLevel="1" x14ac:dyDescent="0.25">
      <c r="A8" s="18"/>
    </row>
    <row r="9" spans="1:15" outlineLevel="1" x14ac:dyDescent="0.2">
      <c r="A9" s="17" t="s">
        <v>78</v>
      </c>
      <c r="B9" s="7">
        <v>600</v>
      </c>
      <c r="C9" s="7">
        <v>650</v>
      </c>
      <c r="D9" s="7">
        <v>700</v>
      </c>
      <c r="E9" s="5">
        <f>E38*E40</f>
        <v>775.91509433962267</v>
      </c>
      <c r="F9" s="5">
        <f>F38*F40</f>
        <v>855.43018867924536</v>
      </c>
      <c r="G9" s="5">
        <f>G38*G40</f>
        <v>938.54528301886808</v>
      </c>
      <c r="H9" s="5">
        <f>H38*H40</f>
        <v>1025.2603773584908</v>
      </c>
      <c r="I9" s="5">
        <f>I38*I40</f>
        <v>1115.5754716981135</v>
      </c>
      <c r="K9" s="4" t="s">
        <v>76</v>
      </c>
    </row>
    <row r="10" spans="1:15" outlineLevel="1" x14ac:dyDescent="0.2">
      <c r="A10" s="35" t="s">
        <v>44</v>
      </c>
      <c r="B10" s="9"/>
      <c r="C10" s="11">
        <f>C9/B9-1</f>
        <v>8.3333333333333259E-2</v>
      </c>
      <c r="D10" s="11">
        <f t="shared" ref="D10" si="0">D9/C9-1</f>
        <v>7.6923076923076872E-2</v>
      </c>
      <c r="E10" s="11">
        <f t="shared" ref="E10" si="1">E9/D9-1</f>
        <v>0.10845013477088949</v>
      </c>
      <c r="F10" s="11">
        <f t="shared" ref="F10" si="2">F9/E9-1</f>
        <v>0.10247911777937202</v>
      </c>
      <c r="G10" s="11">
        <f t="shared" ref="G10" si="3">G9/F9-1</f>
        <v>9.7161750239314726E-2</v>
      </c>
      <c r="H10" s="11">
        <f t="shared" ref="H10" si="4">H9/G9-1</f>
        <v>9.2393085244326434E-2</v>
      </c>
      <c r="I10" s="11">
        <f t="shared" ref="I10" si="5">I9/H9-1</f>
        <v>8.8089909972248082E-2</v>
      </c>
      <c r="K10" s="4" t="s">
        <v>77</v>
      </c>
    </row>
    <row r="11" spans="1:15" outlineLevel="1" x14ac:dyDescent="0.2">
      <c r="A11" s="17" t="s">
        <v>79</v>
      </c>
      <c r="B11" s="7">
        <v>0</v>
      </c>
      <c r="C11" s="7">
        <v>0</v>
      </c>
      <c r="D11" s="7">
        <v>0</v>
      </c>
      <c r="E11" s="5">
        <f>E42*E44</f>
        <v>99.75</v>
      </c>
      <c r="F11" s="5">
        <f t="shared" ref="F11:I11" si="6">F42*F44</f>
        <v>207</v>
      </c>
      <c r="G11" s="5">
        <f t="shared" si="6"/>
        <v>321.75</v>
      </c>
      <c r="H11" s="5">
        <f t="shared" si="6"/>
        <v>444</v>
      </c>
      <c r="I11" s="5">
        <f t="shared" si="6"/>
        <v>577.5</v>
      </c>
      <c r="K11" s="4" t="s">
        <v>65</v>
      </c>
    </row>
    <row r="12" spans="1:15" outlineLevel="1" x14ac:dyDescent="0.2">
      <c r="A12" s="35" t="s">
        <v>44</v>
      </c>
      <c r="B12" s="9"/>
      <c r="C12" s="11"/>
      <c r="D12" s="11"/>
      <c r="E12" s="11"/>
      <c r="F12" s="11">
        <f t="shared" ref="F12" si="7">F11/E11-1</f>
        <v>1.0751879699248121</v>
      </c>
      <c r="G12" s="11">
        <f t="shared" ref="G12" si="8">G11/F11-1</f>
        <v>0.55434782608695654</v>
      </c>
      <c r="H12" s="11">
        <f t="shared" ref="H12" si="9">H11/G11-1</f>
        <v>0.37995337995337986</v>
      </c>
      <c r="I12" s="11">
        <f t="shared" ref="I12" si="10">I11/H11-1</f>
        <v>0.30067567567567566</v>
      </c>
      <c r="K12" s="4"/>
    </row>
    <row r="13" spans="1:15" ht="12" outlineLevel="1" x14ac:dyDescent="0.25">
      <c r="A13" s="36" t="s">
        <v>24</v>
      </c>
      <c r="B13" s="16">
        <f t="shared" ref="B13:I13" si="11">B11+B9</f>
        <v>600</v>
      </c>
      <c r="C13" s="16">
        <f t="shared" si="11"/>
        <v>650</v>
      </c>
      <c r="D13" s="16">
        <f t="shared" si="11"/>
        <v>700</v>
      </c>
      <c r="E13" s="16">
        <f t="shared" si="11"/>
        <v>875.66509433962267</v>
      </c>
      <c r="F13" s="16">
        <f t="shared" si="11"/>
        <v>1062.4301886792455</v>
      </c>
      <c r="G13" s="16">
        <f t="shared" si="11"/>
        <v>1260.2952830188681</v>
      </c>
      <c r="H13" s="16">
        <f t="shared" si="11"/>
        <v>1469.2603773584908</v>
      </c>
      <c r="I13" s="16">
        <f t="shared" si="11"/>
        <v>1693.0754716981135</v>
      </c>
    </row>
    <row r="14" spans="1:15" outlineLevel="1" x14ac:dyDescent="0.2">
      <c r="A14" s="35" t="s">
        <v>44</v>
      </c>
      <c r="B14" s="9"/>
      <c r="C14" s="11">
        <f>C13/B13-1</f>
        <v>8.3333333333333259E-2</v>
      </c>
      <c r="D14" s="11">
        <f t="shared" ref="D14" si="12">D13/C13-1</f>
        <v>7.6923076923076872E-2</v>
      </c>
      <c r="E14" s="11">
        <f t="shared" ref="E14" si="13">E13/D13-1</f>
        <v>0.25095013477088957</v>
      </c>
      <c r="F14" s="11">
        <f t="shared" ref="F14" si="14">F13/E13-1</f>
        <v>0.21328370349222436</v>
      </c>
      <c r="G14" s="11">
        <f t="shared" ref="G14" si="15">G13/F13-1</f>
        <v>0.18623820788224932</v>
      </c>
      <c r="H14" s="11">
        <f t="shared" ref="H14" si="16">H13/G13-1</f>
        <v>0.16580645595933263</v>
      </c>
      <c r="I14" s="11">
        <f t="shared" ref="I14" si="17">I13/H13-1</f>
        <v>0.15233181115385985</v>
      </c>
      <c r="K14" s="4"/>
    </row>
    <row r="15" spans="1:15" outlineLevel="1" x14ac:dyDescent="0.2">
      <c r="A15" s="35"/>
      <c r="B15" s="9"/>
      <c r="C15" s="11"/>
      <c r="D15" s="11"/>
      <c r="E15" s="11"/>
      <c r="F15" s="11"/>
      <c r="G15" s="11"/>
      <c r="H15" s="11"/>
      <c r="I15" s="11"/>
      <c r="K15" s="4"/>
    </row>
    <row r="16" spans="1:15" ht="12" outlineLevel="1" x14ac:dyDescent="0.25">
      <c r="A16" s="38" t="s">
        <v>22</v>
      </c>
      <c r="B16" s="39"/>
      <c r="C16" s="39"/>
      <c r="D16" s="39"/>
      <c r="E16" s="39"/>
      <c r="F16" s="39"/>
      <c r="G16" s="39"/>
      <c r="H16" s="39"/>
      <c r="I16" s="39"/>
    </row>
    <row r="17" spans="1:11" ht="12" outlineLevel="1" x14ac:dyDescent="0.25">
      <c r="A17" s="18"/>
      <c r="B17" s="5"/>
      <c r="C17" s="5"/>
      <c r="D17" s="5"/>
      <c r="E17" s="5"/>
      <c r="F17" s="5"/>
      <c r="G17" s="5"/>
      <c r="H17" s="5"/>
      <c r="I17" s="5"/>
    </row>
    <row r="18" spans="1:11" outlineLevel="1" x14ac:dyDescent="0.2">
      <c r="A18" s="17" t="s">
        <v>64</v>
      </c>
      <c r="B18" s="7">
        <v>400</v>
      </c>
      <c r="C18" s="7">
        <v>450</v>
      </c>
      <c r="D18" s="7">
        <v>500</v>
      </c>
      <c r="E18" s="5">
        <f>D18*(1+'BAU v.1'!E9)</f>
        <v>547.72727272727275</v>
      </c>
      <c r="F18" s="5">
        <f>E18*(1+'BAU v.1'!F9)</f>
        <v>598.76549586776866</v>
      </c>
      <c r="G18" s="5">
        <f>F18*(1+'BAU v.1'!G9)</f>
        <v>655.23996877347861</v>
      </c>
      <c r="H18" s="5">
        <f>G18*(1+'BAU v.1'!H9)</f>
        <v>716.66871584599221</v>
      </c>
      <c r="I18" s="5">
        <f>H18*(1+'BAU v.1'!I9)</f>
        <v>784.06000702355561</v>
      </c>
      <c r="K18" s="4" t="s">
        <v>66</v>
      </c>
    </row>
    <row r="19" spans="1:11" outlineLevel="1" x14ac:dyDescent="0.2">
      <c r="A19" s="35" t="s">
        <v>44</v>
      </c>
      <c r="B19" s="9"/>
      <c r="C19" s="11">
        <f>C18/B18-1</f>
        <v>0.125</v>
      </c>
      <c r="D19" s="11">
        <f t="shared" ref="D19" si="18">D18/C18-1</f>
        <v>0.11111111111111116</v>
      </c>
      <c r="E19" s="11">
        <f t="shared" ref="E19" si="19">E18/D18-1</f>
        <v>9.5454545454545459E-2</v>
      </c>
      <c r="F19" s="11">
        <f t="shared" ref="F19" si="20">F18/E18-1</f>
        <v>9.3181818181818254E-2</v>
      </c>
      <c r="G19" s="11">
        <f t="shared" ref="G19" si="21">G18/F18-1</f>
        <v>9.4318181818181746E-2</v>
      </c>
      <c r="H19" s="11">
        <f t="shared" ref="H19" si="22">H18/G18-1</f>
        <v>9.375E-2</v>
      </c>
      <c r="I19" s="11">
        <f t="shared" ref="I19" si="23">I18/H18-1</f>
        <v>9.4034090909090873E-2</v>
      </c>
      <c r="K19" s="4"/>
    </row>
    <row r="20" spans="1:11" outlineLevel="1" x14ac:dyDescent="0.2">
      <c r="A20" s="17" t="s">
        <v>80</v>
      </c>
      <c r="B20" s="7">
        <v>0</v>
      </c>
      <c r="C20" s="7">
        <v>0</v>
      </c>
      <c r="D20" s="7">
        <v>0</v>
      </c>
      <c r="E20" s="5">
        <f>E51*E53</f>
        <v>5.5</v>
      </c>
      <c r="F20" s="5">
        <f t="shared" ref="F20:I20" si="24">F51*F53</f>
        <v>11.4</v>
      </c>
      <c r="G20" s="5">
        <f t="shared" si="24"/>
        <v>23.6</v>
      </c>
      <c r="H20" s="5">
        <f t="shared" si="24"/>
        <v>48.800000000000004</v>
      </c>
      <c r="I20" s="5">
        <f t="shared" si="24"/>
        <v>100.8</v>
      </c>
      <c r="K20" s="4" t="s">
        <v>67</v>
      </c>
    </row>
    <row r="21" spans="1:11" outlineLevel="1" x14ac:dyDescent="0.2">
      <c r="A21" s="35" t="s">
        <v>44</v>
      </c>
      <c r="B21" s="9"/>
      <c r="C21" s="11"/>
      <c r="D21" s="11"/>
      <c r="E21" s="11"/>
      <c r="F21" s="11">
        <f t="shared" ref="F21" si="25">F20/E20-1</f>
        <v>1.0727272727272728</v>
      </c>
      <c r="G21" s="11">
        <f t="shared" ref="G21" si="26">G20/F20-1</f>
        <v>1.0701754385964914</v>
      </c>
      <c r="H21" s="11">
        <f t="shared" ref="H21" si="27">H20/G20-1</f>
        <v>1.0677966101694918</v>
      </c>
      <c r="I21" s="11">
        <f t="shared" ref="I21" si="28">I20/H20-1</f>
        <v>1.0655737704918029</v>
      </c>
      <c r="K21" s="4"/>
    </row>
    <row r="22" spans="1:11" ht="12" outlineLevel="1" x14ac:dyDescent="0.25">
      <c r="A22" s="36" t="s">
        <v>24</v>
      </c>
      <c r="B22" s="16">
        <f t="shared" ref="B22:I22" si="29">B18+B20</f>
        <v>400</v>
      </c>
      <c r="C22" s="16">
        <f t="shared" si="29"/>
        <v>450</v>
      </c>
      <c r="D22" s="16">
        <f t="shared" si="29"/>
        <v>500</v>
      </c>
      <c r="E22" s="16">
        <f t="shared" si="29"/>
        <v>553.22727272727275</v>
      </c>
      <c r="F22" s="16">
        <f t="shared" si="29"/>
        <v>610.16549586776864</v>
      </c>
      <c r="G22" s="16">
        <f t="shared" si="29"/>
        <v>678.83996877347863</v>
      </c>
      <c r="H22" s="16">
        <f t="shared" si="29"/>
        <v>765.46871584599216</v>
      </c>
      <c r="I22" s="16">
        <f t="shared" si="29"/>
        <v>884.86000702355557</v>
      </c>
    </row>
    <row r="23" spans="1:11" outlineLevel="1" x14ac:dyDescent="0.2">
      <c r="A23" s="35" t="s">
        <v>44</v>
      </c>
      <c r="B23" s="9"/>
      <c r="C23" s="11">
        <f>C22/B22-1</f>
        <v>0.125</v>
      </c>
      <c r="D23" s="11">
        <f t="shared" ref="D23" si="30">D22/C22-1</f>
        <v>0.11111111111111116</v>
      </c>
      <c r="E23" s="11">
        <f t="shared" ref="E23" si="31">E22/D22-1</f>
        <v>0.10645454545454558</v>
      </c>
      <c r="F23" s="11">
        <f t="shared" ref="F23" si="32">F22/E22-1</f>
        <v>0.10292013056370952</v>
      </c>
      <c r="G23" s="11">
        <f t="shared" ref="G23" si="33">G22/F22-1</f>
        <v>0.11255056762598836</v>
      </c>
      <c r="H23" s="11">
        <f t="shared" ref="H23" si="34">H22/G22-1</f>
        <v>0.12761291476256686</v>
      </c>
      <c r="I23" s="11">
        <f t="shared" ref="I23" si="35">I22/H22-1</f>
        <v>0.15597148349245438</v>
      </c>
      <c r="K23" s="4"/>
    </row>
    <row r="24" spans="1:11" outlineLevel="1" x14ac:dyDescent="0.2">
      <c r="A24" s="35"/>
      <c r="B24" s="9"/>
      <c r="C24" s="11"/>
      <c r="D24" s="11"/>
      <c r="E24" s="11"/>
      <c r="F24" s="11"/>
      <c r="G24" s="11"/>
      <c r="H24" s="11"/>
      <c r="I24" s="11"/>
      <c r="K24" s="4"/>
    </row>
    <row r="25" spans="1:11" ht="12" outlineLevel="1" x14ac:dyDescent="0.25">
      <c r="A25" s="2"/>
      <c r="B25" s="5"/>
      <c r="C25" s="5"/>
      <c r="D25" s="5"/>
      <c r="E25" s="5"/>
      <c r="F25" s="5"/>
      <c r="G25" s="5"/>
      <c r="H25" s="5"/>
      <c r="I25" s="5"/>
    </row>
    <row r="26" spans="1:11" ht="12" outlineLevel="1" x14ac:dyDescent="0.25">
      <c r="A26" s="2" t="s">
        <v>75</v>
      </c>
      <c r="B26" s="37">
        <f t="shared" ref="B26:I26" si="36">B22+B13</f>
        <v>1000</v>
      </c>
      <c r="C26" s="37">
        <f t="shared" si="36"/>
        <v>1100</v>
      </c>
      <c r="D26" s="37">
        <f t="shared" si="36"/>
        <v>1200</v>
      </c>
      <c r="E26" s="37">
        <f t="shared" si="36"/>
        <v>1428.8923670668955</v>
      </c>
      <c r="F26" s="37">
        <f t="shared" si="36"/>
        <v>1672.5956845470141</v>
      </c>
      <c r="G26" s="37">
        <f t="shared" si="36"/>
        <v>1939.1352517923467</v>
      </c>
      <c r="H26" s="37">
        <f t="shared" si="36"/>
        <v>2234.729093204483</v>
      </c>
      <c r="I26" s="37">
        <f t="shared" si="36"/>
        <v>2577.9354787216689</v>
      </c>
    </row>
    <row r="27" spans="1:11" outlineLevel="1" x14ac:dyDescent="0.2">
      <c r="A27" s="35" t="s">
        <v>44</v>
      </c>
      <c r="B27" s="9"/>
      <c r="C27" s="11">
        <f>C26/B26-1</f>
        <v>0.10000000000000009</v>
      </c>
      <c r="D27" s="11">
        <f t="shared" ref="D27" si="37">D26/C26-1</f>
        <v>9.0909090909090828E-2</v>
      </c>
      <c r="E27" s="11">
        <f t="shared" ref="E27" si="38">E26/D26-1</f>
        <v>0.19074363922241289</v>
      </c>
      <c r="F27" s="11">
        <f t="shared" ref="F27" si="39">F26/E26-1</f>
        <v>0.17055400609380489</v>
      </c>
      <c r="G27" s="11">
        <f t="shared" ref="G27" si="40">G26/F26-1</f>
        <v>0.1593568426057006</v>
      </c>
      <c r="H27" s="11">
        <f t="shared" ref="H27" si="41">H26/G26-1</f>
        <v>0.15243590726274414</v>
      </c>
      <c r="I27" s="11">
        <f t="shared" ref="I27" si="42">I26/H26-1</f>
        <v>0.1535785194549224</v>
      </c>
      <c r="K27" s="4"/>
    </row>
    <row r="28" spans="1:11" ht="12" outlineLevel="1" x14ac:dyDescent="0.25">
      <c r="A28" s="2"/>
      <c r="B28" s="5"/>
      <c r="C28" s="5"/>
      <c r="D28" s="5"/>
      <c r="E28" s="5"/>
      <c r="F28" s="5"/>
      <c r="G28" s="5"/>
      <c r="H28" s="5"/>
      <c r="I28" s="5"/>
    </row>
    <row r="29" spans="1:11" ht="12" outlineLevel="1" x14ac:dyDescent="0.25">
      <c r="A29" s="2" t="s">
        <v>73</v>
      </c>
      <c r="B29" s="31">
        <f>'BAU v.1'!B8</f>
        <v>1000</v>
      </c>
      <c r="C29" s="31">
        <f>'BAU v.1'!C8</f>
        <v>1100</v>
      </c>
      <c r="D29" s="31">
        <f>'BAU v.1'!D8</f>
        <v>1200</v>
      </c>
      <c r="E29" s="31">
        <f>'BAU v.1'!E8</f>
        <v>1314.5454545454545</v>
      </c>
      <c r="F29" s="31">
        <f>'BAU v.1'!F8</f>
        <v>1437.0371900826447</v>
      </c>
      <c r="G29" s="31">
        <f>'BAU v.1'!G8</f>
        <v>1572.5759250563485</v>
      </c>
      <c r="H29" s="31">
        <f>'BAU v.1'!H8</f>
        <v>1720.0049180303813</v>
      </c>
      <c r="I29" s="31">
        <f>'BAU v.1'!I8</f>
        <v>1881.7440168565336</v>
      </c>
      <c r="K29" s="45" t="s">
        <v>68</v>
      </c>
    </row>
    <row r="30" spans="1:11" outlineLevel="1" x14ac:dyDescent="0.2">
      <c r="A30" s="35" t="s">
        <v>44</v>
      </c>
      <c r="B30" s="9"/>
      <c r="C30" s="11">
        <f>C29/B29-1</f>
        <v>0.10000000000000009</v>
      </c>
      <c r="D30" s="11">
        <f t="shared" ref="D30" si="43">D29/C29-1</f>
        <v>9.0909090909090828E-2</v>
      </c>
      <c r="E30" s="11">
        <f t="shared" ref="E30" si="44">E29/D29-1</f>
        <v>9.5454545454545459E-2</v>
      </c>
      <c r="F30" s="11">
        <f t="shared" ref="F30" si="45">F29/E29-1</f>
        <v>9.3181818181818254E-2</v>
      </c>
      <c r="G30" s="11">
        <f t="shared" ref="G30" si="46">G29/F29-1</f>
        <v>9.4318181818181746E-2</v>
      </c>
      <c r="H30" s="11">
        <f t="shared" ref="H30" si="47">H29/G29-1</f>
        <v>9.375E-2</v>
      </c>
      <c r="I30" s="11">
        <f t="shared" ref="I30" si="48">I29/H29-1</f>
        <v>9.4034090909090873E-2</v>
      </c>
      <c r="K30" s="4"/>
    </row>
    <row r="31" spans="1:11" ht="12.6" outlineLevel="1" thickBot="1" x14ac:dyDescent="0.3">
      <c r="A31" s="2" t="s">
        <v>74</v>
      </c>
      <c r="B31" s="44">
        <f t="shared" ref="B31:I31" si="49">B26-B29</f>
        <v>0</v>
      </c>
      <c r="C31" s="44">
        <f t="shared" si="49"/>
        <v>0</v>
      </c>
      <c r="D31" s="44">
        <f t="shared" si="49"/>
        <v>0</v>
      </c>
      <c r="E31" s="44">
        <f t="shared" si="49"/>
        <v>114.34691252144103</v>
      </c>
      <c r="F31" s="44">
        <f t="shared" si="49"/>
        <v>235.55849446436946</v>
      </c>
      <c r="G31" s="44">
        <f t="shared" si="49"/>
        <v>366.55932673599818</v>
      </c>
      <c r="H31" s="44">
        <f t="shared" si="49"/>
        <v>514.72417517410167</v>
      </c>
      <c r="I31" s="44">
        <f t="shared" si="49"/>
        <v>696.19146186513535</v>
      </c>
    </row>
    <row r="32" spans="1:11" ht="12" outlineLevel="1" thickTop="1" x14ac:dyDescent="0.2">
      <c r="A32" s="35" t="s">
        <v>44</v>
      </c>
      <c r="B32" s="9"/>
      <c r="C32" s="11"/>
      <c r="D32" s="11"/>
      <c r="E32" s="11"/>
      <c r="F32" s="11">
        <f t="shared" ref="F32" si="50">F31/E31-1</f>
        <v>1.0600337103129061</v>
      </c>
      <c r="G32" s="11">
        <f t="shared" ref="G32" si="51">G31/F31-1</f>
        <v>0.55612867016113432</v>
      </c>
      <c r="H32" s="11">
        <f t="shared" ref="H32" si="52">H31/G31-1</f>
        <v>0.40420427917474377</v>
      </c>
      <c r="I32" s="11">
        <f t="shared" ref="I32" si="53">I31/H31-1</f>
        <v>0.35255248430803499</v>
      </c>
      <c r="K32" s="4"/>
    </row>
    <row r="33" spans="1:15" x14ac:dyDescent="0.2">
      <c r="B33" s="5"/>
      <c r="C33" s="5"/>
      <c r="D33" s="5"/>
      <c r="E33" s="5"/>
      <c r="F33" s="5"/>
      <c r="G33" s="5"/>
      <c r="H33" s="5"/>
      <c r="I33" s="5"/>
    </row>
    <row r="34" spans="1:15" ht="12" x14ac:dyDescent="0.25">
      <c r="A34" s="69" t="s">
        <v>81</v>
      </c>
      <c r="B34" s="69"/>
      <c r="C34" s="69"/>
      <c r="D34" s="69"/>
      <c r="E34" s="69"/>
      <c r="F34" s="69"/>
      <c r="G34" s="69"/>
      <c r="H34" s="69"/>
      <c r="I34" s="69"/>
      <c r="J34" s="69"/>
      <c r="K34" s="69"/>
      <c r="L34" s="55"/>
      <c r="M34" s="55"/>
      <c r="N34" s="55"/>
      <c r="O34" s="55"/>
    </row>
    <row r="35" spans="1:15" ht="12" outlineLevel="1" x14ac:dyDescent="0.25">
      <c r="A35" s="18"/>
      <c r="B35" s="5"/>
      <c r="C35" s="5"/>
      <c r="D35" s="5"/>
      <c r="E35" s="5"/>
      <c r="F35" s="5"/>
      <c r="G35" s="5"/>
      <c r="H35" s="5"/>
      <c r="I35" s="5"/>
    </row>
    <row r="36" spans="1:15" ht="12" outlineLevel="1" x14ac:dyDescent="0.25">
      <c r="A36" s="18"/>
      <c r="B36" s="15" t="s">
        <v>10</v>
      </c>
      <c r="C36" s="15" t="s">
        <v>11</v>
      </c>
      <c r="D36" s="15" t="s">
        <v>12</v>
      </c>
      <c r="E36" s="15" t="s">
        <v>13</v>
      </c>
      <c r="F36" s="15" t="s">
        <v>14</v>
      </c>
      <c r="G36" s="15" t="s">
        <v>15</v>
      </c>
      <c r="H36" s="15" t="s">
        <v>46</v>
      </c>
      <c r="I36" s="15" t="s">
        <v>47</v>
      </c>
    </row>
    <row r="37" spans="1:15" ht="12" outlineLevel="1" x14ac:dyDescent="0.25">
      <c r="A37" s="38" t="s">
        <v>20</v>
      </c>
      <c r="B37" s="39"/>
      <c r="C37" s="39"/>
      <c r="D37" s="39"/>
      <c r="E37" s="39"/>
      <c r="F37" s="39"/>
      <c r="G37" s="39"/>
      <c r="H37" s="39"/>
      <c r="I37" s="39"/>
    </row>
    <row r="38" spans="1:15" outlineLevel="1" x14ac:dyDescent="0.2">
      <c r="A38" s="3" t="s">
        <v>63</v>
      </c>
      <c r="B38" s="7">
        <v>5000</v>
      </c>
      <c r="C38" s="7">
        <v>5100</v>
      </c>
      <c r="D38" s="7">
        <v>5300</v>
      </c>
      <c r="E38" s="7">
        <v>5500</v>
      </c>
      <c r="F38" s="7">
        <v>5700</v>
      </c>
      <c r="G38" s="7">
        <v>5900</v>
      </c>
      <c r="H38" s="7">
        <v>6100</v>
      </c>
      <c r="I38" s="7">
        <v>6300</v>
      </c>
      <c r="K38" s="45" t="s">
        <v>26</v>
      </c>
    </row>
    <row r="39" spans="1:15" s="4" customFormat="1" ht="10.199999999999999" outlineLevel="1" x14ac:dyDescent="0.2">
      <c r="A39" s="19" t="s">
        <v>9</v>
      </c>
      <c r="C39" s="11">
        <f>C38/B38-1</f>
        <v>2.0000000000000018E-2</v>
      </c>
      <c r="D39" s="11">
        <f t="shared" ref="D39" si="54">D38/C38-1</f>
        <v>3.9215686274509887E-2</v>
      </c>
      <c r="E39" s="11">
        <f t="shared" ref="E39" si="55">E38/D38-1</f>
        <v>3.7735849056603765E-2</v>
      </c>
      <c r="F39" s="11">
        <f t="shared" ref="F39" si="56">F38/E38-1</f>
        <v>3.6363636363636376E-2</v>
      </c>
      <c r="G39" s="11">
        <f t="shared" ref="G39:I39" si="57">G38/F38-1</f>
        <v>3.5087719298245723E-2</v>
      </c>
      <c r="H39" s="11">
        <f t="shared" si="57"/>
        <v>3.3898305084745672E-2</v>
      </c>
      <c r="I39" s="11">
        <f t="shared" si="57"/>
        <v>3.2786885245901676E-2</v>
      </c>
    </row>
    <row r="40" spans="1:15" s="4" customFormat="1" ht="10.199999999999999" outlineLevel="1" x14ac:dyDescent="0.2">
      <c r="A40" s="19" t="s">
        <v>21</v>
      </c>
      <c r="C40" s="11">
        <f>C9/C38</f>
        <v>0.12745098039215685</v>
      </c>
      <c r="D40" s="11">
        <f>D9/D38</f>
        <v>0.13207547169811321</v>
      </c>
      <c r="E40" s="20">
        <f>D40+0.9%</f>
        <v>0.14107547169811321</v>
      </c>
      <c r="F40" s="20">
        <f t="shared" ref="F40:I40" si="58">E40+0.9%</f>
        <v>0.15007547169811322</v>
      </c>
      <c r="G40" s="20">
        <f t="shared" si="58"/>
        <v>0.15907547169811323</v>
      </c>
      <c r="H40" s="20">
        <f t="shared" si="58"/>
        <v>0.16807547169811324</v>
      </c>
      <c r="I40" s="20">
        <f t="shared" si="58"/>
        <v>0.17707547169811325</v>
      </c>
      <c r="K40" s="4" t="s">
        <v>76</v>
      </c>
    </row>
    <row r="41" spans="1:15" outlineLevel="1" x14ac:dyDescent="0.2"/>
    <row r="42" spans="1:15" outlineLevel="1" x14ac:dyDescent="0.2">
      <c r="A42" s="3" t="s">
        <v>62</v>
      </c>
      <c r="B42" s="7">
        <v>6150</v>
      </c>
      <c r="C42" s="7">
        <v>6300</v>
      </c>
      <c r="D42" s="7">
        <v>6450</v>
      </c>
      <c r="E42" s="7">
        <v>6650</v>
      </c>
      <c r="F42" s="7">
        <v>6900</v>
      </c>
      <c r="G42" s="7">
        <v>7150</v>
      </c>
      <c r="H42" s="7">
        <v>7400</v>
      </c>
      <c r="I42" s="7">
        <v>7700</v>
      </c>
      <c r="K42" s="45" t="s">
        <v>26</v>
      </c>
    </row>
    <row r="43" spans="1:15" outlineLevel="1" x14ac:dyDescent="0.2">
      <c r="A43" s="19" t="s">
        <v>9</v>
      </c>
      <c r="B43" s="4"/>
      <c r="C43" s="11">
        <f>C42/B42-1</f>
        <v>2.4390243902439046E-2</v>
      </c>
      <c r="D43" s="11">
        <f t="shared" ref="D43" si="59">D42/C42-1</f>
        <v>2.3809523809523725E-2</v>
      </c>
      <c r="E43" s="11">
        <f t="shared" ref="E43" si="60">E42/D42-1</f>
        <v>3.1007751937984551E-2</v>
      </c>
      <c r="F43" s="11">
        <f t="shared" ref="F43" si="61">F42/E42-1</f>
        <v>3.7593984962406068E-2</v>
      </c>
      <c r="G43" s="11">
        <f t="shared" ref="G43" si="62">G42/F42-1</f>
        <v>3.6231884057970953E-2</v>
      </c>
      <c r="H43" s="11">
        <f t="shared" ref="H43" si="63">H42/G42-1</f>
        <v>3.4965034965035002E-2</v>
      </c>
      <c r="I43" s="11">
        <f t="shared" ref="I43" si="64">I42/H42-1</f>
        <v>4.0540540540540571E-2</v>
      </c>
    </row>
    <row r="44" spans="1:15" outlineLevel="1" x14ac:dyDescent="0.2">
      <c r="A44" s="19" t="s">
        <v>21</v>
      </c>
      <c r="B44" s="4"/>
      <c r="C44" s="11">
        <v>0</v>
      </c>
      <c r="D44" s="11">
        <v>0</v>
      </c>
      <c r="E44" s="20">
        <f>D44+1.5%</f>
        <v>1.4999999999999999E-2</v>
      </c>
      <c r="F44" s="20">
        <f t="shared" ref="F44:I44" si="65">E44+1.5%</f>
        <v>0.03</v>
      </c>
      <c r="G44" s="20">
        <f t="shared" si="65"/>
        <v>4.4999999999999998E-2</v>
      </c>
      <c r="H44" s="20">
        <f t="shared" si="65"/>
        <v>0.06</v>
      </c>
      <c r="I44" s="20">
        <f t="shared" si="65"/>
        <v>7.4999999999999997E-2</v>
      </c>
      <c r="K44" s="4" t="s">
        <v>103</v>
      </c>
    </row>
    <row r="45" spans="1:15" outlineLevel="1" x14ac:dyDescent="0.2"/>
    <row r="46" spans="1:15" ht="12" outlineLevel="1" x14ac:dyDescent="0.25">
      <c r="A46" s="38" t="s">
        <v>22</v>
      </c>
      <c r="B46" s="39"/>
      <c r="C46" s="39"/>
      <c r="D46" s="39"/>
      <c r="E46" s="39"/>
      <c r="F46" s="39"/>
      <c r="G46" s="39"/>
      <c r="H46" s="39"/>
      <c r="I46" s="39"/>
    </row>
    <row r="47" spans="1:15" outlineLevel="1" x14ac:dyDescent="0.2">
      <c r="A47" s="3" t="s">
        <v>63</v>
      </c>
      <c r="B47" s="7">
        <v>5000</v>
      </c>
      <c r="C47" s="7">
        <v>5100</v>
      </c>
      <c r="D47" s="7">
        <v>5300</v>
      </c>
      <c r="E47" s="7">
        <v>5500</v>
      </c>
      <c r="F47" s="7">
        <v>5700</v>
      </c>
      <c r="G47" s="7">
        <v>5900</v>
      </c>
      <c r="H47" s="7">
        <v>6100</v>
      </c>
      <c r="I47" s="7">
        <v>6300</v>
      </c>
      <c r="K47" s="45" t="s">
        <v>26</v>
      </c>
    </row>
    <row r="48" spans="1:15" outlineLevel="1" x14ac:dyDescent="0.2">
      <c r="A48" s="19" t="s">
        <v>9</v>
      </c>
      <c r="B48" s="4"/>
      <c r="C48" s="11">
        <f>C47/B47-1</f>
        <v>2.0000000000000018E-2</v>
      </c>
      <c r="D48" s="11">
        <f t="shared" ref="D48" si="66">D47/C47-1</f>
        <v>3.9215686274509887E-2</v>
      </c>
      <c r="E48" s="11">
        <f t="shared" ref="E48" si="67">E47/D47-1</f>
        <v>3.7735849056603765E-2</v>
      </c>
      <c r="F48" s="11">
        <f t="shared" ref="F48" si="68">F47/E47-1</f>
        <v>3.6363636363636376E-2</v>
      </c>
      <c r="G48" s="11">
        <f t="shared" ref="G48" si="69">G47/F47-1</f>
        <v>3.5087719298245723E-2</v>
      </c>
      <c r="H48" s="11">
        <f t="shared" ref="H48" si="70">H47/G47-1</f>
        <v>3.3898305084745672E-2</v>
      </c>
      <c r="I48" s="11">
        <f t="shared" ref="I48" si="71">I47/H47-1</f>
        <v>3.2786885245901676E-2</v>
      </c>
      <c r="J48" s="4"/>
      <c r="K48" s="4"/>
    </row>
    <row r="49" spans="1:15" outlineLevel="1" x14ac:dyDescent="0.2">
      <c r="A49" s="19" t="s">
        <v>21</v>
      </c>
      <c r="B49" s="4"/>
      <c r="C49" s="11">
        <f>C18/C47</f>
        <v>8.8235294117647065E-2</v>
      </c>
      <c r="D49" s="11">
        <f>D18/D47</f>
        <v>9.4339622641509441E-2</v>
      </c>
      <c r="E49" s="20"/>
      <c r="F49" s="20"/>
      <c r="G49" s="20"/>
      <c r="H49" s="20"/>
      <c r="I49" s="20"/>
      <c r="J49" s="4"/>
      <c r="K49" s="4" t="s">
        <v>66</v>
      </c>
    </row>
    <row r="50" spans="1:15" outlineLevel="1" x14ac:dyDescent="0.2"/>
    <row r="51" spans="1:15" outlineLevel="1" x14ac:dyDescent="0.2">
      <c r="A51" s="3" t="s">
        <v>62</v>
      </c>
      <c r="B51" s="7">
        <v>5000</v>
      </c>
      <c r="C51" s="7">
        <v>5100</v>
      </c>
      <c r="D51" s="7">
        <v>5300</v>
      </c>
      <c r="E51" s="7">
        <v>5500</v>
      </c>
      <c r="F51" s="7">
        <v>5700</v>
      </c>
      <c r="G51" s="7">
        <v>5900</v>
      </c>
      <c r="H51" s="7">
        <v>6100</v>
      </c>
      <c r="I51" s="7">
        <v>6300</v>
      </c>
      <c r="K51" s="45" t="s">
        <v>26</v>
      </c>
    </row>
    <row r="52" spans="1:15" outlineLevel="1" x14ac:dyDescent="0.2">
      <c r="A52" s="19" t="s">
        <v>9</v>
      </c>
      <c r="B52" s="4"/>
      <c r="C52" s="11">
        <f>C51/B51-1</f>
        <v>2.0000000000000018E-2</v>
      </c>
      <c r="D52" s="11">
        <f t="shared" ref="D52" si="72">D51/C51-1</f>
        <v>3.9215686274509887E-2</v>
      </c>
      <c r="E52" s="11">
        <f t="shared" ref="E52" si="73">E51/D51-1</f>
        <v>3.7735849056603765E-2</v>
      </c>
      <c r="F52" s="11">
        <f t="shared" ref="F52" si="74">F51/E51-1</f>
        <v>3.6363636363636376E-2</v>
      </c>
      <c r="G52" s="11">
        <f t="shared" ref="G52" si="75">G51/F51-1</f>
        <v>3.5087719298245723E-2</v>
      </c>
      <c r="H52" s="11">
        <f t="shared" ref="H52" si="76">H51/G51-1</f>
        <v>3.3898305084745672E-2</v>
      </c>
      <c r="I52" s="11">
        <f t="shared" ref="I52" si="77">I51/H51-1</f>
        <v>3.2786885245901676E-2</v>
      </c>
    </row>
    <row r="53" spans="1:15" outlineLevel="1" x14ac:dyDescent="0.2">
      <c r="A53" s="19" t="s">
        <v>21</v>
      </c>
      <c r="B53" s="4"/>
      <c r="C53" s="11">
        <v>0</v>
      </c>
      <c r="D53" s="11">
        <v>0</v>
      </c>
      <c r="E53" s="20">
        <v>1E-3</v>
      </c>
      <c r="F53" s="20">
        <f>E53*2</f>
        <v>2E-3</v>
      </c>
      <c r="G53" s="20">
        <f>F53*2</f>
        <v>4.0000000000000001E-3</v>
      </c>
      <c r="H53" s="20">
        <f>G53*2</f>
        <v>8.0000000000000002E-3</v>
      </c>
      <c r="I53" s="20">
        <f>H53*2</f>
        <v>1.6E-2</v>
      </c>
      <c r="K53" s="4" t="s">
        <v>116</v>
      </c>
    </row>
    <row r="56" spans="1:15" ht="12" x14ac:dyDescent="0.25">
      <c r="A56" s="69" t="s">
        <v>98</v>
      </c>
      <c r="B56" s="69"/>
      <c r="C56" s="69"/>
      <c r="D56" s="69"/>
      <c r="E56" s="69"/>
      <c r="F56" s="69"/>
      <c r="G56" s="69"/>
      <c r="H56" s="69"/>
      <c r="I56" s="69"/>
      <c r="J56" s="69"/>
      <c r="K56" s="69"/>
      <c r="L56" s="55"/>
      <c r="M56" s="55"/>
      <c r="N56" s="55"/>
      <c r="O56" s="55"/>
    </row>
    <row r="57" spans="1:15" outlineLevel="1" x14ac:dyDescent="0.2">
      <c r="A57" s="32" t="s">
        <v>69</v>
      </c>
    </row>
    <row r="58" spans="1:15" outlineLevel="1" x14ac:dyDescent="0.2"/>
    <row r="59" spans="1:15" ht="12" outlineLevel="1" x14ac:dyDescent="0.25">
      <c r="B59" s="15" t="s">
        <v>10</v>
      </c>
      <c r="C59" s="15" t="s">
        <v>11</v>
      </c>
      <c r="D59" s="15" t="s">
        <v>12</v>
      </c>
      <c r="E59" s="15" t="s">
        <v>13</v>
      </c>
      <c r="F59" s="15" t="s">
        <v>14</v>
      </c>
      <c r="G59" s="15" t="s">
        <v>15</v>
      </c>
      <c r="H59" s="15" t="s">
        <v>46</v>
      </c>
      <c r="I59" s="15" t="s">
        <v>47</v>
      </c>
    </row>
    <row r="60" spans="1:15" ht="12" outlineLevel="1" x14ac:dyDescent="0.25">
      <c r="A60" s="38" t="s">
        <v>1</v>
      </c>
      <c r="B60" s="39"/>
      <c r="C60" s="39"/>
      <c r="D60" s="39"/>
      <c r="E60" s="39"/>
      <c r="F60" s="39"/>
      <c r="G60" s="39"/>
      <c r="H60" s="39"/>
      <c r="I60" s="39"/>
    </row>
    <row r="61" spans="1:15" ht="12" outlineLevel="1" x14ac:dyDescent="0.25">
      <c r="A61" s="2" t="s">
        <v>88</v>
      </c>
      <c r="E61" s="51">
        <f>E31*E62</f>
        <v>34.304073756432309</v>
      </c>
      <c r="F61" s="51">
        <f t="shared" ref="F61:I61" si="78">F31*F62</f>
        <v>68.311963394667146</v>
      </c>
      <c r="G61" s="51">
        <f t="shared" si="78"/>
        <v>102.63661148607947</v>
      </c>
      <c r="H61" s="51">
        <f t="shared" si="78"/>
        <v>138.97552729700743</v>
      </c>
      <c r="I61" s="51">
        <f t="shared" si="78"/>
        <v>181.00978008493516</v>
      </c>
      <c r="K61" s="45" t="s">
        <v>99</v>
      </c>
    </row>
    <row r="62" spans="1:15" outlineLevel="1" x14ac:dyDescent="0.2">
      <c r="A62" s="19" t="s">
        <v>82</v>
      </c>
      <c r="B62" s="4"/>
      <c r="C62" s="11"/>
      <c r="D62" s="11"/>
      <c r="E62" s="20">
        <v>0.3</v>
      </c>
      <c r="F62" s="20">
        <f>E62-1%</f>
        <v>0.28999999999999998</v>
      </c>
      <c r="G62" s="20">
        <f>F62-1%</f>
        <v>0.27999999999999997</v>
      </c>
      <c r="H62" s="20">
        <f>G62-1%</f>
        <v>0.26999999999999996</v>
      </c>
      <c r="I62" s="20">
        <f>H62-1%</f>
        <v>0.25999999999999995</v>
      </c>
      <c r="K62" s="45" t="s">
        <v>100</v>
      </c>
    </row>
    <row r="63" spans="1:15" outlineLevel="1" x14ac:dyDescent="0.2">
      <c r="A63" s="19"/>
      <c r="B63" s="4"/>
      <c r="C63" s="29"/>
      <c r="D63" s="29"/>
      <c r="E63" s="40"/>
      <c r="F63" s="40"/>
      <c r="G63" s="40"/>
      <c r="H63" s="40"/>
      <c r="I63" s="40"/>
    </row>
    <row r="64" spans="1:15" outlineLevel="1" x14ac:dyDescent="0.2"/>
    <row r="65" spans="1:11" ht="12" outlineLevel="1" x14ac:dyDescent="0.25">
      <c r="A65" s="38" t="s">
        <v>43</v>
      </c>
      <c r="B65" s="39"/>
      <c r="C65" s="39"/>
      <c r="D65" s="39"/>
      <c r="E65" s="39"/>
      <c r="F65" s="39"/>
      <c r="G65" s="39"/>
      <c r="H65" s="39"/>
      <c r="I65" s="39"/>
    </row>
    <row r="66" spans="1:11" outlineLevel="1" x14ac:dyDescent="0.2">
      <c r="A66" s="17" t="s">
        <v>83</v>
      </c>
      <c r="E66" s="46">
        <f>E31*E67</f>
        <v>8.5760184391080774</v>
      </c>
      <c r="F66" s="46">
        <f t="shared" ref="F66:I66" si="79">F31*F67</f>
        <v>17.66688708482771</v>
      </c>
      <c r="G66" s="46">
        <f t="shared" si="79"/>
        <v>27.491949505199862</v>
      </c>
      <c r="H66" s="46">
        <f t="shared" si="79"/>
        <v>38.604313138057627</v>
      </c>
      <c r="I66" s="46">
        <f t="shared" si="79"/>
        <v>52.214359639885153</v>
      </c>
    </row>
    <row r="67" spans="1:11" outlineLevel="1" x14ac:dyDescent="0.2">
      <c r="A67" s="42" t="s">
        <v>82</v>
      </c>
      <c r="B67" s="4"/>
      <c r="C67" s="11"/>
      <c r="D67" s="11"/>
      <c r="E67" s="20">
        <v>7.4999999999999997E-2</v>
      </c>
      <c r="F67" s="20">
        <v>7.4999999999999997E-2</v>
      </c>
      <c r="G67" s="20">
        <v>7.4999999999999997E-2</v>
      </c>
      <c r="H67" s="20">
        <v>7.4999999999999997E-2</v>
      </c>
      <c r="I67" s="20">
        <v>7.4999999999999997E-2</v>
      </c>
      <c r="K67" s="45" t="s">
        <v>108</v>
      </c>
    </row>
    <row r="68" spans="1:11" outlineLevel="1" x14ac:dyDescent="0.2">
      <c r="A68" s="17" t="s">
        <v>31</v>
      </c>
      <c r="E68" s="1">
        <v>30</v>
      </c>
      <c r="F68" s="1">
        <v>30</v>
      </c>
      <c r="G68" s="1">
        <f>F68*(1+G69)</f>
        <v>27</v>
      </c>
      <c r="H68" s="1">
        <f t="shared" ref="H68:I68" si="80">G68*(1+H69)</f>
        <v>24.3</v>
      </c>
      <c r="I68" s="1">
        <f t="shared" si="80"/>
        <v>21.87</v>
      </c>
    </row>
    <row r="69" spans="1:11" outlineLevel="1" x14ac:dyDescent="0.2">
      <c r="A69" s="42" t="s">
        <v>9</v>
      </c>
      <c r="B69" s="4"/>
      <c r="C69" s="11"/>
      <c r="D69" s="11"/>
      <c r="E69" s="20"/>
      <c r="F69" s="20"/>
      <c r="G69" s="20">
        <v>-0.1</v>
      </c>
      <c r="H69" s="20">
        <v>-0.1</v>
      </c>
      <c r="I69" s="20">
        <v>-0.1</v>
      </c>
      <c r="K69" s="45" t="s">
        <v>104</v>
      </c>
    </row>
    <row r="70" spans="1:11" outlineLevel="1" x14ac:dyDescent="0.2">
      <c r="A70" s="17" t="s">
        <v>84</v>
      </c>
      <c r="E70" s="46">
        <v>10</v>
      </c>
      <c r="F70" s="46">
        <f>E70*(1+F71)</f>
        <v>10.199999999999999</v>
      </c>
      <c r="G70" s="46">
        <f t="shared" ref="G70:I70" si="81">F70*(1+G71)</f>
        <v>10.404</v>
      </c>
      <c r="H70" s="46">
        <f t="shared" si="81"/>
        <v>10.612080000000001</v>
      </c>
      <c r="I70" s="46">
        <f t="shared" si="81"/>
        <v>10.824321600000001</v>
      </c>
    </row>
    <row r="71" spans="1:11" outlineLevel="1" x14ac:dyDescent="0.2">
      <c r="A71" s="42" t="s">
        <v>96</v>
      </c>
      <c r="B71" s="4"/>
      <c r="C71" s="11"/>
      <c r="D71" s="11"/>
      <c r="E71" s="20"/>
      <c r="F71" s="20">
        <v>0.02</v>
      </c>
      <c r="G71" s="20">
        <v>0.02</v>
      </c>
      <c r="H71" s="20">
        <v>0.02</v>
      </c>
      <c r="I71" s="20">
        <v>0.02</v>
      </c>
      <c r="K71" s="45" t="s">
        <v>105</v>
      </c>
    </row>
    <row r="72" spans="1:11" outlineLevel="1" x14ac:dyDescent="0.2">
      <c r="A72" s="17" t="s">
        <v>85</v>
      </c>
      <c r="E72" s="46">
        <v>0.5</v>
      </c>
      <c r="F72" s="46">
        <f>E72*(1+F73)</f>
        <v>0.51</v>
      </c>
      <c r="G72" s="46">
        <f t="shared" ref="G72" si="82">F72*(1+G73)</f>
        <v>0.5202</v>
      </c>
      <c r="H72" s="46">
        <f t="shared" ref="H72" si="83">G72*(1+H73)</f>
        <v>0.53060399999999996</v>
      </c>
      <c r="I72" s="46">
        <f t="shared" ref="I72" si="84">H72*(1+I73)</f>
        <v>0.54121607999999999</v>
      </c>
    </row>
    <row r="73" spans="1:11" outlineLevel="1" x14ac:dyDescent="0.2">
      <c r="A73" s="42" t="s">
        <v>96</v>
      </c>
      <c r="B73" s="4"/>
      <c r="C73" s="11"/>
      <c r="D73" s="11"/>
      <c r="E73" s="20"/>
      <c r="F73" s="20">
        <v>0.02</v>
      </c>
      <c r="G73" s="20">
        <v>0.02</v>
      </c>
      <c r="H73" s="20">
        <v>0.02</v>
      </c>
      <c r="I73" s="20">
        <v>0.02</v>
      </c>
      <c r="K73" s="45" t="s">
        <v>101</v>
      </c>
    </row>
    <row r="74" spans="1:11" outlineLevel="1" x14ac:dyDescent="0.2">
      <c r="A74" s="42"/>
      <c r="B74" s="4"/>
      <c r="C74" s="29"/>
      <c r="D74" s="29"/>
      <c r="E74" s="40"/>
      <c r="F74" s="40"/>
      <c r="G74" s="40"/>
      <c r="H74" s="40"/>
      <c r="I74" s="40"/>
    </row>
    <row r="75" spans="1:11" outlineLevel="1" x14ac:dyDescent="0.2">
      <c r="A75" s="17" t="s">
        <v>95</v>
      </c>
    </row>
    <row r="76" spans="1:11" outlineLevel="1" x14ac:dyDescent="0.2">
      <c r="A76" s="43" t="s">
        <v>138</v>
      </c>
      <c r="B76" s="4"/>
      <c r="C76" s="41"/>
      <c r="D76" s="46">
        <v>13</v>
      </c>
      <c r="E76" s="40"/>
      <c r="F76" s="40"/>
      <c r="G76" s="40"/>
      <c r="H76" s="40"/>
      <c r="I76" s="40"/>
      <c r="K76" s="45" t="s">
        <v>106</v>
      </c>
    </row>
    <row r="77" spans="1:11" outlineLevel="1" x14ac:dyDescent="0.2">
      <c r="A77" s="43" t="s">
        <v>86</v>
      </c>
      <c r="B77" s="4"/>
      <c r="C77" s="29"/>
      <c r="D77" s="46">
        <v>20</v>
      </c>
      <c r="E77" s="40"/>
      <c r="F77" s="40"/>
      <c r="G77" s="40"/>
      <c r="H77" s="40"/>
      <c r="I77" s="40"/>
      <c r="K77" s="45" t="s">
        <v>102</v>
      </c>
    </row>
    <row r="78" spans="1:11" outlineLevel="1" x14ac:dyDescent="0.2">
      <c r="A78" s="43" t="s">
        <v>87</v>
      </c>
      <c r="B78" s="4"/>
      <c r="C78" s="29"/>
      <c r="D78" s="46">
        <v>40</v>
      </c>
      <c r="E78" s="40"/>
      <c r="F78" s="40"/>
      <c r="G78" s="40"/>
      <c r="H78" s="40"/>
      <c r="I78" s="40"/>
      <c r="K78" s="45" t="s">
        <v>107</v>
      </c>
    </row>
    <row r="79" spans="1:11" outlineLevel="1" x14ac:dyDescent="0.2">
      <c r="A79" s="19"/>
      <c r="B79" s="4"/>
      <c r="C79" s="29"/>
      <c r="D79" s="29"/>
      <c r="E79" s="40"/>
      <c r="F79" s="40"/>
      <c r="G79" s="40"/>
      <c r="H79" s="40"/>
      <c r="I79" s="40"/>
    </row>
    <row r="80" spans="1:11" ht="12" outlineLevel="1" x14ac:dyDescent="0.25">
      <c r="A80" s="2" t="s">
        <v>89</v>
      </c>
      <c r="B80" s="4"/>
      <c r="C80" s="4"/>
      <c r="D80" s="50">
        <f t="shared" ref="D80:I80" si="85">D61+D66+D68+D70+D72+D76+D77+D78</f>
        <v>73</v>
      </c>
      <c r="E80" s="50">
        <f t="shared" si="85"/>
        <v>83.380092195540385</v>
      </c>
      <c r="F80" s="50">
        <f t="shared" si="85"/>
        <v>126.68885047949486</v>
      </c>
      <c r="G80" s="50">
        <f t="shared" si="85"/>
        <v>168.05276099127931</v>
      </c>
      <c r="H80" s="50">
        <f t="shared" si="85"/>
        <v>213.02252443506507</v>
      </c>
      <c r="I80" s="50">
        <f t="shared" si="85"/>
        <v>266.45967740482035</v>
      </c>
    </row>
    <row r="81" spans="1:11" outlineLevel="1" x14ac:dyDescent="0.2">
      <c r="A81" s="19"/>
      <c r="B81" s="4"/>
      <c r="C81" s="29"/>
      <c r="D81" s="29"/>
      <c r="E81" s="40"/>
      <c r="F81" s="40"/>
      <c r="G81" s="40"/>
      <c r="H81" s="40"/>
      <c r="I81" s="40"/>
    </row>
    <row r="82" spans="1:11" ht="12" outlineLevel="1" x14ac:dyDescent="0.25">
      <c r="A82" s="38" t="s">
        <v>3</v>
      </c>
      <c r="B82" s="39"/>
      <c r="C82" s="39"/>
      <c r="D82" s="39"/>
      <c r="E82" s="39"/>
      <c r="F82" s="39"/>
      <c r="G82" s="39"/>
      <c r="H82" s="39"/>
      <c r="I82" s="39"/>
    </row>
    <row r="83" spans="1:11" outlineLevel="1" x14ac:dyDescent="0.2">
      <c r="A83" s="19"/>
      <c r="B83" s="4"/>
      <c r="C83" s="29"/>
      <c r="D83" s="29"/>
      <c r="E83" s="40"/>
      <c r="F83" s="40"/>
      <c r="G83" s="40"/>
      <c r="H83" s="40"/>
      <c r="I83" s="40"/>
    </row>
    <row r="84" spans="1:11" outlineLevel="1" x14ac:dyDescent="0.2">
      <c r="A84" s="3" t="s">
        <v>97</v>
      </c>
      <c r="B84" s="4"/>
      <c r="C84" s="29"/>
      <c r="D84" s="29"/>
      <c r="E84" s="40"/>
      <c r="F84" s="40"/>
      <c r="G84" s="40"/>
      <c r="H84" s="40"/>
      <c r="I84" s="40"/>
    </row>
    <row r="85" spans="1:11" outlineLevel="1" x14ac:dyDescent="0.2">
      <c r="A85" s="43" t="s">
        <v>90</v>
      </c>
      <c r="B85" s="4"/>
      <c r="C85" s="29"/>
      <c r="D85" s="46">
        <v>200</v>
      </c>
      <c r="E85" s="40"/>
      <c r="F85" s="40"/>
      <c r="G85" s="40"/>
      <c r="H85" s="40"/>
      <c r="I85" s="40"/>
    </row>
    <row r="86" spans="1:11" outlineLevel="1" x14ac:dyDescent="0.2">
      <c r="A86" s="43" t="s">
        <v>91</v>
      </c>
      <c r="B86" s="4"/>
      <c r="C86" s="29"/>
      <c r="D86" s="46">
        <v>100</v>
      </c>
      <c r="E86" s="40"/>
      <c r="F86" s="40"/>
      <c r="G86" s="40"/>
      <c r="H86" s="40"/>
      <c r="I86" s="40"/>
    </row>
    <row r="87" spans="1:11" ht="12" outlineLevel="1" x14ac:dyDescent="0.25">
      <c r="A87" s="52" t="s">
        <v>92</v>
      </c>
      <c r="B87" s="49"/>
      <c r="C87" s="53"/>
      <c r="D87" s="50">
        <f>SUM(D85:D86)</f>
        <v>300</v>
      </c>
      <c r="E87" s="40"/>
      <c r="F87" s="40"/>
      <c r="G87" s="40"/>
      <c r="H87" s="40"/>
      <c r="I87" s="40"/>
      <c r="K87" s="54" t="s">
        <v>112</v>
      </c>
    </row>
    <row r="88" spans="1:11" outlineLevel="1" x14ac:dyDescent="0.2">
      <c r="A88" s="3"/>
      <c r="B88" s="4"/>
      <c r="C88" s="29"/>
      <c r="D88" s="29"/>
      <c r="E88" s="40"/>
      <c r="F88" s="40"/>
      <c r="G88" s="40"/>
      <c r="H88" s="40"/>
      <c r="I88" s="40"/>
    </row>
    <row r="89" spans="1:11" ht="12" outlineLevel="1" x14ac:dyDescent="0.25">
      <c r="A89" s="2" t="s">
        <v>94</v>
      </c>
      <c r="D89" s="2">
        <f>$D$87*D90</f>
        <v>30</v>
      </c>
      <c r="E89" s="2">
        <f>$D$87*E90</f>
        <v>30</v>
      </c>
      <c r="F89" s="2">
        <f t="shared" ref="F89:I89" si="86">$D$87*F90</f>
        <v>30</v>
      </c>
      <c r="G89" s="2">
        <f t="shared" si="86"/>
        <v>30</v>
      </c>
      <c r="H89" s="2">
        <f t="shared" si="86"/>
        <v>30</v>
      </c>
      <c r="I89" s="2">
        <f t="shared" si="86"/>
        <v>30</v>
      </c>
    </row>
    <row r="90" spans="1:11" outlineLevel="1" x14ac:dyDescent="0.2">
      <c r="A90" s="19" t="s">
        <v>93</v>
      </c>
      <c r="B90" s="4"/>
      <c r="C90" s="11"/>
      <c r="D90" s="20">
        <v>0.1</v>
      </c>
      <c r="E90" s="20">
        <v>0.1</v>
      </c>
      <c r="F90" s="20">
        <v>0.1</v>
      </c>
      <c r="G90" s="20">
        <v>0.1</v>
      </c>
      <c r="H90" s="20">
        <v>0.1</v>
      </c>
      <c r="I90" s="20">
        <v>0.1</v>
      </c>
      <c r="K90" s="45" t="s">
        <v>115</v>
      </c>
    </row>
    <row r="91" spans="1:11" outlineLevel="1" x14ac:dyDescent="0.2"/>
    <row r="92" spans="1:11" ht="12" outlineLevel="1" x14ac:dyDescent="0.25">
      <c r="A92" s="38" t="s">
        <v>111</v>
      </c>
      <c r="B92" s="39"/>
      <c r="C92" s="39"/>
      <c r="D92" s="39"/>
      <c r="E92" s="39"/>
      <c r="F92" s="39"/>
      <c r="G92" s="39"/>
      <c r="H92" s="39"/>
      <c r="I92" s="39"/>
    </row>
    <row r="93" spans="1:11" outlineLevel="1" x14ac:dyDescent="0.2"/>
    <row r="94" spans="1:11" ht="12" outlineLevel="1" x14ac:dyDescent="0.25">
      <c r="A94" s="2" t="s">
        <v>110</v>
      </c>
      <c r="D94" s="5">
        <f>D31-D61-D80-D89</f>
        <v>-103</v>
      </c>
      <c r="E94" s="5">
        <f t="shared" ref="E94:I94" si="87">E31-E61-E80-E89</f>
        <v>-33.337253430531661</v>
      </c>
      <c r="F94" s="5">
        <f t="shared" si="87"/>
        <v>10.557680590207454</v>
      </c>
      <c r="G94" s="5">
        <f t="shared" si="87"/>
        <v>65.86995425863941</v>
      </c>
      <c r="H94" s="5">
        <f t="shared" si="87"/>
        <v>132.72612344202918</v>
      </c>
      <c r="I94" s="5">
        <f t="shared" si="87"/>
        <v>218.72200437537981</v>
      </c>
    </row>
    <row r="95" spans="1:11" outlineLevel="1" x14ac:dyDescent="0.2"/>
    <row r="96" spans="1:11" outlineLevel="1" x14ac:dyDescent="0.2">
      <c r="A96" s="1" t="s">
        <v>136</v>
      </c>
      <c r="D96" s="46">
        <f>SUM(D85:D86,D76:D78)</f>
        <v>373</v>
      </c>
    </row>
    <row r="97" spans="1:1" outlineLevel="1" x14ac:dyDescent="0.2"/>
    <row r="98" spans="1:1" outlineLevel="1" x14ac:dyDescent="0.2">
      <c r="A98" s="1" t="s">
        <v>128</v>
      </c>
    </row>
  </sheetData>
  <mergeCells count="4">
    <mergeCell ref="A3:I3"/>
    <mergeCell ref="A1:K1"/>
    <mergeCell ref="A56:K56"/>
    <mergeCell ref="A34:K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409C-0F4A-4064-B68F-36BE52F499DC}">
  <sheetPr>
    <tabColor theme="7" tint="0.59999389629810485"/>
  </sheetPr>
  <dimension ref="A1:O28"/>
  <sheetViews>
    <sheetView showGridLines="0" workbookViewId="0">
      <selection activeCell="C28" sqref="C28"/>
    </sheetView>
  </sheetViews>
  <sheetFormatPr defaultRowHeight="11.4" x14ac:dyDescent="0.2"/>
  <cols>
    <col min="1" max="1" width="24.6640625" style="5" customWidth="1"/>
    <col min="2" max="7" width="8.88671875" style="5"/>
    <col min="8" max="8" width="2.88671875" style="5" customWidth="1"/>
    <col min="9" max="16384" width="8.88671875" style="5"/>
  </cols>
  <sheetData>
    <row r="1" spans="1:15" ht="47.4" customHeight="1" x14ac:dyDescent="0.2">
      <c r="A1" s="66" t="s">
        <v>127</v>
      </c>
      <c r="B1" s="67"/>
      <c r="C1" s="67"/>
      <c r="D1" s="67"/>
      <c r="E1" s="67"/>
      <c r="F1" s="67"/>
      <c r="G1" s="67"/>
      <c r="H1" s="67"/>
      <c r="I1" s="67"/>
      <c r="J1" s="67"/>
      <c r="K1" s="67"/>
      <c r="L1" s="67"/>
      <c r="M1" s="67"/>
      <c r="N1" s="67"/>
      <c r="O1" s="68"/>
    </row>
    <row r="5" spans="1:15" ht="12" x14ac:dyDescent="0.25">
      <c r="B5" s="15" t="s">
        <v>10</v>
      </c>
      <c r="C5" s="15" t="s">
        <v>11</v>
      </c>
      <c r="D5" s="15" t="s">
        <v>12</v>
      </c>
      <c r="E5" s="15" t="s">
        <v>13</v>
      </c>
      <c r="F5" s="15" t="s">
        <v>14</v>
      </c>
      <c r="G5" s="15" t="s">
        <v>15</v>
      </c>
      <c r="I5" s="6" t="s">
        <v>18</v>
      </c>
    </row>
    <row r="7" spans="1:15" ht="12" x14ac:dyDescent="0.25">
      <c r="A7" s="6" t="s">
        <v>27</v>
      </c>
      <c r="B7" s="7"/>
      <c r="C7" s="7"/>
      <c r="D7" s="7"/>
      <c r="E7" s="7">
        <v>1000</v>
      </c>
      <c r="F7" s="5">
        <f>E7*(1+F8)</f>
        <v>1200</v>
      </c>
      <c r="G7" s="5">
        <f>F7*(1+G8)</f>
        <v>1440</v>
      </c>
      <c r="I7" s="5" t="s">
        <v>33</v>
      </c>
    </row>
    <row r="8" spans="1:15" s="9" customFormat="1" ht="10.199999999999999" x14ac:dyDescent="0.2">
      <c r="A8" s="8" t="s">
        <v>9</v>
      </c>
      <c r="C8" s="11"/>
      <c r="D8" s="11"/>
      <c r="E8" s="12"/>
      <c r="F8" s="12">
        <v>0.2</v>
      </c>
      <c r="G8" s="12">
        <v>0.2</v>
      </c>
      <c r="I8" s="9" t="s">
        <v>29</v>
      </c>
    </row>
    <row r="9" spans="1:15" x14ac:dyDescent="0.2">
      <c r="A9" s="8"/>
    </row>
    <row r="10" spans="1:15" x14ac:dyDescent="0.2">
      <c r="A10" s="5" t="s">
        <v>28</v>
      </c>
      <c r="B10" s="7"/>
      <c r="C10" s="7"/>
      <c r="D10" s="7"/>
      <c r="E10" s="7">
        <v>10</v>
      </c>
      <c r="F10" s="5">
        <f>E10*(1+F11)</f>
        <v>11</v>
      </c>
      <c r="G10" s="5">
        <f>F10*(1+G11)</f>
        <v>12.100000000000001</v>
      </c>
      <c r="I10" s="5" t="s">
        <v>34</v>
      </c>
    </row>
    <row r="11" spans="1:15" s="9" customFormat="1" ht="10.199999999999999" x14ac:dyDescent="0.2">
      <c r="A11" s="8" t="s">
        <v>9</v>
      </c>
      <c r="B11" s="11"/>
      <c r="C11" s="11"/>
      <c r="D11" s="11"/>
      <c r="E11" s="12"/>
      <c r="F11" s="12">
        <v>0.1</v>
      </c>
      <c r="G11" s="12">
        <v>0.1</v>
      </c>
      <c r="I11" s="9" t="s">
        <v>30</v>
      </c>
    </row>
    <row r="13" spans="1:15" ht="12" x14ac:dyDescent="0.25">
      <c r="A13" s="6" t="s">
        <v>0</v>
      </c>
      <c r="B13" s="16"/>
      <c r="C13" s="16"/>
      <c r="D13" s="16"/>
      <c r="E13" s="16">
        <f>E10*E7</f>
        <v>10000</v>
      </c>
      <c r="F13" s="16">
        <f t="shared" ref="F13:G13" si="0">F10*F7</f>
        <v>13200</v>
      </c>
      <c r="G13" s="16">
        <f t="shared" si="0"/>
        <v>17424.000000000004</v>
      </c>
    </row>
    <row r="14" spans="1:15" s="11" customFormat="1" ht="10.199999999999999" x14ac:dyDescent="0.2">
      <c r="A14" s="13" t="s">
        <v>17</v>
      </c>
      <c r="F14" s="11">
        <f>F13/E13-1</f>
        <v>0.32000000000000006</v>
      </c>
      <c r="G14" s="11">
        <f t="shared" ref="G14" si="1">G13/F13-1</f>
        <v>0.32000000000000028</v>
      </c>
    </row>
    <row r="15" spans="1:15" s="11" customFormat="1" ht="10.199999999999999" x14ac:dyDescent="0.2">
      <c r="A15" s="13"/>
    </row>
    <row r="17" spans="1:9" ht="12" x14ac:dyDescent="0.25">
      <c r="A17" s="6" t="s">
        <v>1</v>
      </c>
      <c r="B17" s="21"/>
      <c r="C17" s="21"/>
      <c r="D17" s="21"/>
      <c r="E17" s="22">
        <f>E13*E18</f>
        <v>3000</v>
      </c>
      <c r="F17" s="22">
        <f t="shared" ref="F17:G17" si="2">F13*F18</f>
        <v>3960</v>
      </c>
      <c r="G17" s="22">
        <f t="shared" si="2"/>
        <v>4356.0000000000009</v>
      </c>
    </row>
    <row r="18" spans="1:9" x14ac:dyDescent="0.2">
      <c r="A18" s="13" t="s">
        <v>17</v>
      </c>
      <c r="B18" s="11"/>
      <c r="C18" s="11"/>
      <c r="D18" s="11"/>
      <c r="E18" s="12">
        <v>0.3</v>
      </c>
      <c r="F18" s="12">
        <v>0.3</v>
      </c>
      <c r="G18" s="12">
        <v>0.25</v>
      </c>
      <c r="I18" s="5" t="s">
        <v>36</v>
      </c>
    </row>
    <row r="21" spans="1:9" x14ac:dyDescent="0.2">
      <c r="A21" s="5" t="s">
        <v>31</v>
      </c>
      <c r="B21" s="7"/>
      <c r="C21" s="7"/>
      <c r="D21" s="7"/>
      <c r="E21" s="7">
        <v>2000</v>
      </c>
      <c r="F21" s="5">
        <f>E21*(1+F22)</f>
        <v>2200</v>
      </c>
      <c r="G21" s="5">
        <f>F21*(1+G22)</f>
        <v>2420</v>
      </c>
      <c r="I21" s="5" t="s">
        <v>35</v>
      </c>
    </row>
    <row r="22" spans="1:9" x14ac:dyDescent="0.2">
      <c r="A22" s="8" t="s">
        <v>9</v>
      </c>
      <c r="B22" s="11"/>
      <c r="C22" s="11"/>
      <c r="D22" s="11"/>
      <c r="E22" s="12"/>
      <c r="F22" s="12">
        <v>0.1</v>
      </c>
      <c r="G22" s="12">
        <v>0.1</v>
      </c>
      <c r="I22" s="9" t="s">
        <v>30</v>
      </c>
    </row>
    <row r="24" spans="1:9" x14ac:dyDescent="0.2">
      <c r="A24" s="5" t="s">
        <v>32</v>
      </c>
      <c r="B24" s="7"/>
      <c r="C24" s="7"/>
      <c r="D24" s="7"/>
      <c r="E24" s="7">
        <v>200</v>
      </c>
      <c r="F24" s="5">
        <f>E24*(1+F25)</f>
        <v>220.00000000000003</v>
      </c>
      <c r="G24" s="5">
        <f>F24*(1+G25)</f>
        <v>242.00000000000006</v>
      </c>
      <c r="I24" s="5" t="s">
        <v>37</v>
      </c>
    </row>
    <row r="25" spans="1:9" s="14" customFormat="1" ht="10.199999999999999" x14ac:dyDescent="0.2">
      <c r="A25" s="8" t="s">
        <v>9</v>
      </c>
      <c r="B25" s="11"/>
      <c r="C25" s="11"/>
      <c r="D25" s="11"/>
      <c r="E25" s="12"/>
      <c r="F25" s="12">
        <v>0.1</v>
      </c>
      <c r="G25" s="12">
        <v>0.1</v>
      </c>
      <c r="I25" s="9" t="s">
        <v>30</v>
      </c>
    </row>
    <row r="27" spans="1:9" ht="12" x14ac:dyDescent="0.25">
      <c r="A27" s="6" t="s">
        <v>38</v>
      </c>
      <c r="B27" s="16"/>
      <c r="C27" s="16"/>
      <c r="D27" s="16"/>
      <c r="E27" s="22">
        <f>E21+E24</f>
        <v>2200</v>
      </c>
      <c r="F27" s="22">
        <f t="shared" ref="F27:G27" si="3">F21+F24</f>
        <v>2420</v>
      </c>
      <c r="G27" s="22">
        <f t="shared" si="3"/>
        <v>2662</v>
      </c>
    </row>
    <row r="28" spans="1:9" s="14" customFormat="1" ht="10.199999999999999" x14ac:dyDescent="0.2">
      <c r="A28" s="13" t="s">
        <v>17</v>
      </c>
      <c r="B28" s="11"/>
      <c r="C28" s="11"/>
      <c r="D28" s="11"/>
      <c r="E28" s="11">
        <f>E27/E13</f>
        <v>0.22</v>
      </c>
      <c r="F28" s="11">
        <f t="shared" ref="F28:G28" si="4">F27/F13</f>
        <v>0.18333333333333332</v>
      </c>
      <c r="G28" s="11">
        <f t="shared" si="4"/>
        <v>0.15277777777777773</v>
      </c>
    </row>
  </sheetData>
  <mergeCells count="1">
    <mergeCell ref="A1:O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07C6-D34D-425B-BED7-A24065726BE7}">
  <sheetPr>
    <tabColor rgb="FF002060"/>
  </sheetPr>
  <dimension ref="A1"/>
  <sheetViews>
    <sheetView showGridLines="0" workbookViewId="0">
      <selection activeCell="G24" sqref="G24"/>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EB7E-C06C-4674-979E-39A2E60BDF22}">
  <sheetPr>
    <tabColor theme="9" tint="0.39997558519241921"/>
  </sheetPr>
  <dimension ref="A1:K57"/>
  <sheetViews>
    <sheetView showGridLines="0" tabSelected="1" zoomScale="101" zoomScaleNormal="70" workbookViewId="0">
      <selection activeCell="C50" sqref="C50"/>
    </sheetView>
  </sheetViews>
  <sheetFormatPr defaultRowHeight="11.4" outlineLevelRow="1" x14ac:dyDescent="0.2"/>
  <cols>
    <col min="1" max="1" width="29.88671875" style="5" bestFit="1" customWidth="1"/>
    <col min="2" max="9" width="8.88671875" style="5"/>
    <col min="10" max="10" width="3" style="26" customWidth="1"/>
    <col min="11" max="11" width="57.88671875" style="10" customWidth="1"/>
    <col min="12" max="16384" width="8.88671875" style="5"/>
  </cols>
  <sheetData>
    <row r="1" spans="1:11" ht="60" customHeight="1" x14ac:dyDescent="0.2">
      <c r="A1" s="66" t="s">
        <v>71</v>
      </c>
      <c r="B1" s="67"/>
      <c r="C1" s="67"/>
      <c r="D1" s="67"/>
      <c r="E1" s="67"/>
      <c r="F1" s="67"/>
      <c r="G1" s="67"/>
      <c r="H1" s="67"/>
      <c r="I1" s="67"/>
      <c r="J1" s="67"/>
      <c r="K1" s="68"/>
    </row>
    <row r="3" spans="1:11" ht="12" outlineLevel="1" x14ac:dyDescent="0.25">
      <c r="A3" s="34" t="s">
        <v>70</v>
      </c>
      <c r="B3" s="30"/>
      <c r="C3" s="30"/>
      <c r="D3" s="30"/>
      <c r="E3" s="30"/>
      <c r="F3" s="30"/>
      <c r="G3" s="30"/>
      <c r="H3" s="30"/>
      <c r="I3" s="30"/>
      <c r="J3" s="30"/>
      <c r="K3" s="33"/>
    </row>
    <row r="4" spans="1:11" outlineLevel="1" x14ac:dyDescent="0.2">
      <c r="A4" s="32" t="s">
        <v>69</v>
      </c>
      <c r="J4" s="5"/>
    </row>
    <row r="5" spans="1:11" outlineLevel="1" x14ac:dyDescent="0.2"/>
    <row r="6" spans="1:11" ht="12" outlineLevel="1" x14ac:dyDescent="0.25">
      <c r="B6" s="15" t="s">
        <v>10</v>
      </c>
      <c r="C6" s="15" t="s">
        <v>11</v>
      </c>
      <c r="D6" s="15" t="s">
        <v>12</v>
      </c>
      <c r="E6" s="15" t="s">
        <v>13</v>
      </c>
      <c r="F6" s="15" t="s">
        <v>14</v>
      </c>
      <c r="G6" s="15" t="s">
        <v>15</v>
      </c>
      <c r="H6" s="15" t="s">
        <v>46</v>
      </c>
      <c r="I6" s="15" t="s">
        <v>47</v>
      </c>
      <c r="J6" s="25"/>
    </row>
    <row r="7" spans="1:11" outlineLevel="1" x14ac:dyDescent="0.2"/>
    <row r="8" spans="1:11" outlineLevel="1" x14ac:dyDescent="0.2">
      <c r="A8" s="5" t="s">
        <v>118</v>
      </c>
      <c r="B8" s="7">
        <v>1000</v>
      </c>
      <c r="C8" s="7">
        <v>1100</v>
      </c>
      <c r="D8" s="7">
        <v>1200</v>
      </c>
      <c r="E8" s="5">
        <f>D8*(100%+E41)</f>
        <v>1314.5454545454545</v>
      </c>
      <c r="F8" s="5">
        <f>E8*(1+F41)</f>
        <v>1437.0371900826447</v>
      </c>
      <c r="G8" s="5">
        <f>F8*(1+G41)</f>
        <v>1572.5759250563485</v>
      </c>
      <c r="H8" s="5">
        <f>G8*(1+H41)</f>
        <v>1720.0049180303813</v>
      </c>
      <c r="I8" s="5">
        <f>H8*(1+I41)</f>
        <v>1881.7440168565336</v>
      </c>
    </row>
    <row r="9" spans="1:11" outlineLevel="1" x14ac:dyDescent="0.2">
      <c r="A9" s="5" t="s">
        <v>121</v>
      </c>
      <c r="B9" s="7"/>
      <c r="C9" s="7"/>
      <c r="D9" s="7"/>
      <c r="E9" s="31">
        <f>'REC v.1 (Top-Down)'!E31</f>
        <v>114.34691252144103</v>
      </c>
      <c r="F9" s="31">
        <f>'REC v.1 (Top-Down)'!F31</f>
        <v>235.55849446436946</v>
      </c>
      <c r="G9" s="31">
        <f>'REC v.1 (Top-Down)'!G31</f>
        <v>366.55932673599818</v>
      </c>
      <c r="H9" s="31">
        <f>'REC v.1 (Top-Down)'!H31</f>
        <v>514.72417517410167</v>
      </c>
      <c r="I9" s="31">
        <f>'REC v.1 (Top-Down)'!I31</f>
        <v>696.19146186513535</v>
      </c>
      <c r="K9" s="10" t="s">
        <v>125</v>
      </c>
    </row>
    <row r="10" spans="1:11" outlineLevel="1" x14ac:dyDescent="0.2">
      <c r="B10" s="7"/>
      <c r="C10" s="7"/>
      <c r="D10" s="7"/>
      <c r="E10" s="31"/>
      <c r="F10" s="31"/>
      <c r="G10" s="31"/>
      <c r="H10" s="31"/>
      <c r="I10" s="31"/>
    </row>
    <row r="11" spans="1:11" ht="12" outlineLevel="1" x14ac:dyDescent="0.25">
      <c r="A11" s="6" t="s">
        <v>23</v>
      </c>
      <c r="B11" s="16">
        <f>B8+B9</f>
        <v>1000</v>
      </c>
      <c r="C11" s="16">
        <f t="shared" ref="C11:I11" si="0">C8+C9</f>
        <v>1100</v>
      </c>
      <c r="D11" s="16">
        <f t="shared" si="0"/>
        <v>1200</v>
      </c>
      <c r="E11" s="16">
        <f t="shared" si="0"/>
        <v>1428.8923670668955</v>
      </c>
      <c r="F11" s="16">
        <f t="shared" si="0"/>
        <v>1672.5956845470141</v>
      </c>
      <c r="G11" s="16">
        <f t="shared" si="0"/>
        <v>1939.1352517923467</v>
      </c>
      <c r="H11" s="16">
        <f t="shared" si="0"/>
        <v>2234.729093204483</v>
      </c>
      <c r="I11" s="16">
        <f t="shared" si="0"/>
        <v>2577.9354787216689</v>
      </c>
    </row>
    <row r="12" spans="1:11" ht="12" outlineLevel="1" x14ac:dyDescent="0.25">
      <c r="A12" s="6"/>
      <c r="B12" s="7"/>
      <c r="C12" s="7"/>
      <c r="D12" s="7"/>
    </row>
    <row r="13" spans="1:11" outlineLevel="1" x14ac:dyDescent="0.2">
      <c r="A13" s="5" t="s">
        <v>119</v>
      </c>
      <c r="B13" s="7">
        <v>500</v>
      </c>
      <c r="C13" s="7">
        <v>550</v>
      </c>
      <c r="D13" s="7">
        <v>580</v>
      </c>
      <c r="E13" s="5">
        <f>E8*E44</f>
        <v>649.969696969697</v>
      </c>
      <c r="F13" s="5">
        <f>F8*F44</f>
        <v>710.53505509641877</v>
      </c>
      <c r="G13" s="5">
        <f>G8*G44</f>
        <v>777.55142961119464</v>
      </c>
      <c r="H13" s="5">
        <f>H8*H44</f>
        <v>850.44687613724409</v>
      </c>
      <c r="I13" s="5">
        <f>I8*I44</f>
        <v>930.41787500128612</v>
      </c>
    </row>
    <row r="14" spans="1:11" outlineLevel="1" x14ac:dyDescent="0.2">
      <c r="A14" s="5" t="s">
        <v>122</v>
      </c>
      <c r="B14" s="7"/>
      <c r="C14" s="7"/>
      <c r="D14" s="7"/>
      <c r="E14" s="31">
        <f>'REC v.1 (Top-Down)'!E61</f>
        <v>34.304073756432309</v>
      </c>
      <c r="F14" s="31">
        <f>'REC v.1 (Top-Down)'!F61</f>
        <v>68.311963394667146</v>
      </c>
      <c r="G14" s="31">
        <f>'REC v.1 (Top-Down)'!G61</f>
        <v>102.63661148607947</v>
      </c>
      <c r="H14" s="31">
        <f>'REC v.1 (Top-Down)'!H61</f>
        <v>138.97552729700743</v>
      </c>
      <c r="I14" s="31">
        <f>'REC v.1 (Top-Down)'!I61</f>
        <v>181.00978008493516</v>
      </c>
      <c r="K14" s="10" t="s">
        <v>125</v>
      </c>
    </row>
    <row r="15" spans="1:11" outlineLevel="1" x14ac:dyDescent="0.2">
      <c r="B15" s="7"/>
      <c r="C15" s="7"/>
      <c r="D15" s="7"/>
    </row>
    <row r="16" spans="1:11" ht="12" outlineLevel="1" x14ac:dyDescent="0.25">
      <c r="A16" s="6" t="s">
        <v>2</v>
      </c>
      <c r="B16" s="16">
        <f>B8+B9-B13-B14</f>
        <v>500</v>
      </c>
      <c r="C16" s="16">
        <f t="shared" ref="C16:I16" si="1">C8+C9-C13-C14</f>
        <v>550</v>
      </c>
      <c r="D16" s="16">
        <f t="shared" si="1"/>
        <v>620</v>
      </c>
      <c r="E16" s="16">
        <f t="shared" si="1"/>
        <v>744.6185963407662</v>
      </c>
      <c r="F16" s="16">
        <f t="shared" si="1"/>
        <v>893.7486660559282</v>
      </c>
      <c r="G16" s="16">
        <f t="shared" si="1"/>
        <v>1058.9472106950725</v>
      </c>
      <c r="H16" s="16">
        <f t="shared" si="1"/>
        <v>1245.3066897702315</v>
      </c>
      <c r="I16" s="16">
        <f t="shared" si="1"/>
        <v>1466.5078236354477</v>
      </c>
      <c r="J16" s="28"/>
      <c r="K16" s="10" t="s">
        <v>126</v>
      </c>
    </row>
    <row r="17" spans="1:11" ht="12" outlineLevel="1" x14ac:dyDescent="0.25">
      <c r="A17" s="6"/>
      <c r="B17" s="24"/>
      <c r="C17" s="24"/>
      <c r="D17" s="24"/>
      <c r="E17" s="24"/>
      <c r="F17" s="24"/>
      <c r="G17" s="24"/>
      <c r="H17" s="24"/>
      <c r="I17" s="24"/>
      <c r="J17" s="28"/>
    </row>
    <row r="18" spans="1:11" outlineLevel="1" x14ac:dyDescent="0.2">
      <c r="A18" s="5" t="s">
        <v>50</v>
      </c>
      <c r="B18" s="7">
        <v>300</v>
      </c>
      <c r="C18" s="7">
        <v>320</v>
      </c>
      <c r="D18" s="7">
        <v>340</v>
      </c>
      <c r="E18" s="5">
        <f>E8*E47</f>
        <v>365.88181818181818</v>
      </c>
      <c r="F18" s="5">
        <f>F8*F47</f>
        <v>392.79016528925621</v>
      </c>
      <c r="G18" s="5">
        <f>G8*G47</f>
        <v>421.97453989012013</v>
      </c>
      <c r="H18" s="5">
        <f>H8*H47</f>
        <v>452.93462841466703</v>
      </c>
      <c r="I18" s="5">
        <f>I8*I47</f>
        <v>486.11720435460444</v>
      </c>
    </row>
    <row r="19" spans="1:11" outlineLevel="1" x14ac:dyDescent="0.2">
      <c r="A19" s="5" t="s">
        <v>51</v>
      </c>
      <c r="B19" s="7">
        <v>30</v>
      </c>
      <c r="C19" s="7">
        <v>32</v>
      </c>
      <c r="D19" s="7">
        <v>34</v>
      </c>
      <c r="E19" s="5">
        <f>E13*E48</f>
        <v>43.872954545454547</v>
      </c>
      <c r="F19" s="5">
        <f>F13*F48</f>
        <v>51.51379149449037</v>
      </c>
      <c r="G19" s="5">
        <f>G13*G48</f>
        <v>60.260235794867597</v>
      </c>
      <c r="H19" s="5">
        <f>H13*H48</f>
        <v>70.161867281322657</v>
      </c>
      <c r="I19" s="5">
        <f>I13*I48</f>
        <v>81.411564062612555</v>
      </c>
    </row>
    <row r="20" spans="1:11" outlineLevel="1" x14ac:dyDescent="0.2">
      <c r="A20" s="5" t="s">
        <v>123</v>
      </c>
      <c r="B20" s="7"/>
      <c r="C20" s="7"/>
      <c r="D20" s="31">
        <f>'REC v.1 (Top-Down)'!D80</f>
        <v>73</v>
      </c>
      <c r="E20" s="31">
        <f>'REC v.1 (Top-Down)'!E80</f>
        <v>83.380092195540385</v>
      </c>
      <c r="F20" s="31">
        <f>'REC v.1 (Top-Down)'!F80</f>
        <v>126.68885047949486</v>
      </c>
      <c r="G20" s="31">
        <f>'REC v.1 (Top-Down)'!G80</f>
        <v>168.05276099127931</v>
      </c>
      <c r="H20" s="31">
        <f>'REC v.1 (Top-Down)'!H80</f>
        <v>213.02252443506507</v>
      </c>
      <c r="I20" s="31">
        <f>'REC v.1 (Top-Down)'!I80</f>
        <v>266.45967740482035</v>
      </c>
      <c r="K20" s="10" t="s">
        <v>125</v>
      </c>
    </row>
    <row r="21" spans="1:11" outlineLevel="1" x14ac:dyDescent="0.2">
      <c r="B21" s="7"/>
      <c r="C21" s="7"/>
      <c r="D21" s="7"/>
    </row>
    <row r="22" spans="1:11" ht="12" outlineLevel="1" x14ac:dyDescent="0.25">
      <c r="A22" s="6" t="s">
        <v>5</v>
      </c>
      <c r="B22" s="16">
        <f>B16-B18-B19-B20</f>
        <v>170</v>
      </c>
      <c r="C22" s="16">
        <f t="shared" ref="C22:I22" si="2">C16-C18-C19-C20</f>
        <v>198</v>
      </c>
      <c r="D22" s="16">
        <f t="shared" si="2"/>
        <v>173</v>
      </c>
      <c r="E22" s="16">
        <f t="shared" si="2"/>
        <v>251.48373141795309</v>
      </c>
      <c r="F22" s="16">
        <f t="shared" si="2"/>
        <v>322.75585879268675</v>
      </c>
      <c r="G22" s="16">
        <f t="shared" si="2"/>
        <v>408.65967401880539</v>
      </c>
      <c r="H22" s="16">
        <f t="shared" si="2"/>
        <v>509.18766963917676</v>
      </c>
      <c r="I22" s="16">
        <f t="shared" si="2"/>
        <v>632.51937781341042</v>
      </c>
      <c r="J22" s="28"/>
      <c r="K22" s="10" t="s">
        <v>126</v>
      </c>
    </row>
    <row r="23" spans="1:11" ht="12" outlineLevel="1" x14ac:dyDescent="0.25">
      <c r="A23" s="6"/>
      <c r="B23" s="24"/>
      <c r="C23" s="24"/>
      <c r="D23" s="24"/>
      <c r="E23" s="24"/>
      <c r="F23" s="24"/>
      <c r="G23" s="24"/>
      <c r="H23" s="24"/>
      <c r="I23" s="24"/>
      <c r="J23" s="28"/>
    </row>
    <row r="24" spans="1:11" outlineLevel="1" x14ac:dyDescent="0.2">
      <c r="A24" s="5" t="s">
        <v>120</v>
      </c>
      <c r="B24" s="7">
        <v>10</v>
      </c>
      <c r="C24" s="7">
        <v>11</v>
      </c>
      <c r="D24" s="7">
        <v>12</v>
      </c>
      <c r="E24" s="5">
        <f>D24*(1+E51)</f>
        <v>13.09090909090909</v>
      </c>
      <c r="F24" s="5">
        <f>E24*(1+F51)</f>
        <v>14.280991735537189</v>
      </c>
      <c r="G24" s="5">
        <f>F24*(1+G51)</f>
        <v>15.579263711495114</v>
      </c>
      <c r="H24" s="5">
        <f>G24*(1+H51)</f>
        <v>16.995560412540122</v>
      </c>
      <c r="I24" s="5">
        <f>H24*(1+I51)</f>
        <v>18.540611359134676</v>
      </c>
    </row>
    <row r="25" spans="1:11" outlineLevel="1" x14ac:dyDescent="0.2">
      <c r="A25" s="5" t="s">
        <v>124</v>
      </c>
      <c r="B25" s="7"/>
      <c r="C25" s="7"/>
      <c r="D25" s="31">
        <f>'REC v.1 (Top-Down)'!D89</f>
        <v>30</v>
      </c>
      <c r="E25" s="31">
        <f>'REC v.1 (Top-Down)'!E89</f>
        <v>30</v>
      </c>
      <c r="F25" s="31">
        <f>'REC v.1 (Top-Down)'!F89</f>
        <v>30</v>
      </c>
      <c r="G25" s="31">
        <f>'REC v.1 (Top-Down)'!G89</f>
        <v>30</v>
      </c>
      <c r="H25" s="31">
        <f>'REC v.1 (Top-Down)'!H89</f>
        <v>30</v>
      </c>
      <c r="I25" s="31">
        <f>'REC v.1 (Top-Down)'!I89</f>
        <v>30</v>
      </c>
      <c r="K25" s="10" t="s">
        <v>125</v>
      </c>
    </row>
    <row r="26" spans="1:11" outlineLevel="1" x14ac:dyDescent="0.2">
      <c r="B26" s="7"/>
      <c r="C26" s="7"/>
      <c r="D26" s="7"/>
    </row>
    <row r="27" spans="1:11" ht="12" outlineLevel="1" x14ac:dyDescent="0.25">
      <c r="A27" s="6" t="s">
        <v>4</v>
      </c>
      <c r="B27" s="16">
        <f>B22-B24-B25</f>
        <v>160</v>
      </c>
      <c r="C27" s="16">
        <f t="shared" ref="C27:I27" si="3">C22-C24-C25</f>
        <v>187</v>
      </c>
      <c r="D27" s="16">
        <f t="shared" si="3"/>
        <v>131</v>
      </c>
      <c r="E27" s="16">
        <f t="shared" si="3"/>
        <v>208.392822327044</v>
      </c>
      <c r="F27" s="16">
        <f t="shared" si="3"/>
        <v>278.47486705714954</v>
      </c>
      <c r="G27" s="16">
        <f t="shared" si="3"/>
        <v>363.08041030731027</v>
      </c>
      <c r="H27" s="16">
        <f t="shared" si="3"/>
        <v>462.19210922663666</v>
      </c>
      <c r="I27" s="16">
        <f t="shared" si="3"/>
        <v>583.97876645427573</v>
      </c>
      <c r="J27" s="28"/>
      <c r="K27" s="10" t="s">
        <v>126</v>
      </c>
    </row>
    <row r="28" spans="1:11" ht="12" outlineLevel="1" x14ac:dyDescent="0.25">
      <c r="A28" s="6"/>
      <c r="B28" s="24"/>
      <c r="C28" s="24"/>
      <c r="D28" s="24"/>
      <c r="E28" s="24"/>
      <c r="F28" s="24"/>
      <c r="G28" s="24"/>
      <c r="H28" s="24"/>
      <c r="I28" s="24"/>
      <c r="J28" s="28"/>
    </row>
    <row r="29" spans="1:11" outlineLevel="1" x14ac:dyDescent="0.2">
      <c r="A29" s="5" t="s">
        <v>6</v>
      </c>
      <c r="B29" s="7">
        <v>30</v>
      </c>
      <c r="C29" s="7">
        <v>40</v>
      </c>
      <c r="D29" s="7">
        <v>50</v>
      </c>
      <c r="E29" s="5">
        <f>D29*(1+E54)</f>
        <v>62.5</v>
      </c>
      <c r="F29" s="5">
        <f>E29*(1+F54)</f>
        <v>78.125</v>
      </c>
      <c r="G29" s="5">
        <f>F29*(1+G54)</f>
        <v>97.65625</v>
      </c>
      <c r="H29" s="5">
        <f>G29*(1+H54)</f>
        <v>122.0703125</v>
      </c>
      <c r="I29" s="5">
        <f>H29*(1+I54)</f>
        <v>152.587890625</v>
      </c>
    </row>
    <row r="30" spans="1:11" outlineLevel="1" x14ac:dyDescent="0.2">
      <c r="B30" s="7"/>
      <c r="C30" s="7"/>
      <c r="D30" s="7"/>
    </row>
    <row r="31" spans="1:11" ht="12" outlineLevel="1" x14ac:dyDescent="0.25">
      <c r="A31" s="6" t="s">
        <v>16</v>
      </c>
      <c r="B31" s="16">
        <f t="shared" ref="B31:I31" si="4">B27-B29</f>
        <v>130</v>
      </c>
      <c r="C31" s="16">
        <f t="shared" si="4"/>
        <v>147</v>
      </c>
      <c r="D31" s="16">
        <f t="shared" si="4"/>
        <v>81</v>
      </c>
      <c r="E31" s="16">
        <f t="shared" si="4"/>
        <v>145.892822327044</v>
      </c>
      <c r="F31" s="16">
        <f t="shared" si="4"/>
        <v>200.34986705714954</v>
      </c>
      <c r="G31" s="16">
        <f t="shared" si="4"/>
        <v>265.42416030731027</v>
      </c>
      <c r="H31" s="16">
        <f t="shared" si="4"/>
        <v>340.12179672663666</v>
      </c>
      <c r="I31" s="16">
        <f t="shared" si="4"/>
        <v>431.39087582927573</v>
      </c>
      <c r="J31" s="28"/>
    </row>
    <row r="32" spans="1:11" ht="12" outlineLevel="1" x14ac:dyDescent="0.25">
      <c r="A32" s="6"/>
      <c r="B32" s="24"/>
      <c r="C32" s="24"/>
      <c r="D32" s="24"/>
      <c r="E32" s="24"/>
      <c r="F32" s="24"/>
      <c r="G32" s="24"/>
      <c r="H32" s="24"/>
      <c r="I32" s="24"/>
      <c r="J32" s="28"/>
    </row>
    <row r="33" spans="1:11" outlineLevel="1" x14ac:dyDescent="0.2">
      <c r="A33" s="5" t="s">
        <v>7</v>
      </c>
      <c r="B33" s="7">
        <v>30</v>
      </c>
      <c r="C33" s="7">
        <v>34</v>
      </c>
      <c r="D33" s="7">
        <v>38</v>
      </c>
      <c r="E33" s="5">
        <f>E31*E56</f>
        <v>45.285012916432365</v>
      </c>
      <c r="F33" s="5">
        <f>E33*(1+F56)</f>
        <v>59.341443946633248</v>
      </c>
      <c r="G33" s="5">
        <f>F33*(1+G56)</f>
        <v>77.760979690338544</v>
      </c>
      <c r="H33" s="5">
        <f>G33*(1+H56)</f>
        <v>101.89792428777442</v>
      </c>
      <c r="I33" s="5">
        <f>H33*(1+I56)</f>
        <v>133.52695677838884</v>
      </c>
    </row>
    <row r="34" spans="1:11" outlineLevel="1" x14ac:dyDescent="0.2">
      <c r="B34" s="7"/>
      <c r="C34" s="7"/>
      <c r="D34" s="7"/>
    </row>
    <row r="35" spans="1:11" ht="12" outlineLevel="1" x14ac:dyDescent="0.25">
      <c r="A35" s="6" t="s">
        <v>8</v>
      </c>
      <c r="B35" s="16">
        <f t="shared" ref="B35:I35" si="5">B31-B33</f>
        <v>100</v>
      </c>
      <c r="C35" s="16">
        <f t="shared" si="5"/>
        <v>113</v>
      </c>
      <c r="D35" s="16">
        <f t="shared" si="5"/>
        <v>43</v>
      </c>
      <c r="E35" s="16">
        <f t="shared" si="5"/>
        <v>100.60780941061164</v>
      </c>
      <c r="F35" s="16">
        <f t="shared" si="5"/>
        <v>141.00842311051628</v>
      </c>
      <c r="G35" s="16">
        <f t="shared" si="5"/>
        <v>187.66318061697172</v>
      </c>
      <c r="H35" s="16">
        <f t="shared" si="5"/>
        <v>238.22387243886226</v>
      </c>
      <c r="I35" s="16">
        <f t="shared" si="5"/>
        <v>297.86391905088692</v>
      </c>
      <c r="J35" s="28"/>
    </row>
    <row r="38" spans="1:11" ht="12" outlineLevel="1" x14ac:dyDescent="0.25">
      <c r="A38" s="34" t="s">
        <v>130</v>
      </c>
      <c r="B38" s="30"/>
      <c r="C38" s="30"/>
      <c r="D38" s="30"/>
      <c r="E38" s="30"/>
      <c r="F38" s="30"/>
      <c r="G38" s="30"/>
      <c r="H38" s="30"/>
      <c r="I38" s="30"/>
      <c r="J38" s="30"/>
      <c r="K38" s="30"/>
    </row>
    <row r="39" spans="1:11" outlineLevel="1" x14ac:dyDescent="0.2"/>
    <row r="40" spans="1:11" ht="12" outlineLevel="1" x14ac:dyDescent="0.25">
      <c r="B40" s="15" t="s">
        <v>10</v>
      </c>
      <c r="C40" s="15" t="s">
        <v>11</v>
      </c>
      <c r="D40" s="15" t="s">
        <v>12</v>
      </c>
      <c r="E40" s="15" t="s">
        <v>13</v>
      </c>
      <c r="F40" s="15" t="s">
        <v>14</v>
      </c>
      <c r="G40" s="15" t="s">
        <v>15</v>
      </c>
      <c r="H40" s="15" t="s">
        <v>46</v>
      </c>
      <c r="I40" s="15" t="s">
        <v>47</v>
      </c>
      <c r="K40" s="23" t="s">
        <v>18</v>
      </c>
    </row>
    <row r="41" spans="1:11" s="9" customFormat="1" outlineLevel="1" x14ac:dyDescent="0.2">
      <c r="A41" s="5" t="s">
        <v>118</v>
      </c>
      <c r="C41" s="11">
        <f>C8/B8-1</f>
        <v>0.10000000000000009</v>
      </c>
      <c r="D41" s="11">
        <f>D8/C8-1</f>
        <v>9.0909090909090828E-2</v>
      </c>
      <c r="E41" s="12">
        <f>AVERAGE(C41:D41)</f>
        <v>9.5454545454545459E-2</v>
      </c>
      <c r="F41" s="12">
        <f>AVERAGE(D41:E41)</f>
        <v>9.3181818181818143E-2</v>
      </c>
      <c r="G41" s="12">
        <f t="shared" ref="G41:I41" si="6">AVERAGE(E41:F41)</f>
        <v>9.4318181818181801E-2</v>
      </c>
      <c r="H41" s="12">
        <f t="shared" si="6"/>
        <v>9.3749999999999972E-2</v>
      </c>
      <c r="I41" s="12">
        <f t="shared" si="6"/>
        <v>9.4034090909090887E-2</v>
      </c>
      <c r="J41" s="27"/>
      <c r="K41" s="9" t="s">
        <v>40</v>
      </c>
    </row>
    <row r="42" spans="1:11" s="57" customFormat="1" outlineLevel="1" x14ac:dyDescent="0.2">
      <c r="A42" s="26" t="s">
        <v>121</v>
      </c>
      <c r="C42" s="29"/>
      <c r="D42" s="29"/>
      <c r="E42" s="11"/>
      <c r="F42" s="11">
        <f>F9/E9-1</f>
        <v>1.0600337103129061</v>
      </c>
      <c r="G42" s="11">
        <f t="shared" ref="G42:I42" si="7">G9/F9-1</f>
        <v>0.55612867016113432</v>
      </c>
      <c r="H42" s="11">
        <f t="shared" si="7"/>
        <v>0.40420427917474377</v>
      </c>
      <c r="I42" s="11">
        <f t="shared" si="7"/>
        <v>0.35255248430803499</v>
      </c>
      <c r="J42" s="27"/>
    </row>
    <row r="43" spans="1:11" s="9" customFormat="1" ht="12" outlineLevel="1" x14ac:dyDescent="0.25">
      <c r="A43" s="6" t="s">
        <v>23</v>
      </c>
      <c r="C43" s="11">
        <f>C11/B11-1</f>
        <v>0.10000000000000009</v>
      </c>
      <c r="D43" s="11">
        <f t="shared" ref="D43:I43" si="8">D11/C11-1</f>
        <v>9.0909090909090828E-2</v>
      </c>
      <c r="E43" s="11">
        <f t="shared" si="8"/>
        <v>0.19074363922241289</v>
      </c>
      <c r="F43" s="11">
        <f t="shared" si="8"/>
        <v>0.17055400609380489</v>
      </c>
      <c r="G43" s="11">
        <f t="shared" si="8"/>
        <v>0.1593568426057006</v>
      </c>
      <c r="H43" s="11">
        <f t="shared" si="8"/>
        <v>0.15243590726274414</v>
      </c>
      <c r="I43" s="11">
        <f t="shared" si="8"/>
        <v>0.1535785194549224</v>
      </c>
      <c r="J43" s="27"/>
      <c r="K43" s="10"/>
    </row>
    <row r="44" spans="1:11" s="9" customFormat="1" ht="10.199999999999999" outlineLevel="1" x14ac:dyDescent="0.2">
      <c r="A44" s="10" t="s">
        <v>119</v>
      </c>
      <c r="B44" s="11">
        <f>B13/B8</f>
        <v>0.5</v>
      </c>
      <c r="C44" s="11">
        <f>C13/C8</f>
        <v>0.5</v>
      </c>
      <c r="D44" s="11">
        <f>D13/D8</f>
        <v>0.48333333333333334</v>
      </c>
      <c r="E44" s="12">
        <f>AVERAGE(B44:D44)</f>
        <v>0.49444444444444446</v>
      </c>
      <c r="F44" s="12">
        <f>E44</f>
        <v>0.49444444444444446</v>
      </c>
      <c r="G44" s="12">
        <f>F44</f>
        <v>0.49444444444444446</v>
      </c>
      <c r="H44" s="12">
        <f>G44</f>
        <v>0.49444444444444446</v>
      </c>
      <c r="I44" s="12">
        <f>H44</f>
        <v>0.49444444444444446</v>
      </c>
      <c r="J44" s="27"/>
      <c r="K44" s="9" t="s">
        <v>39</v>
      </c>
    </row>
    <row r="45" spans="1:11" s="9" customFormat="1" ht="10.199999999999999" outlineLevel="1" x14ac:dyDescent="0.2">
      <c r="A45" s="10" t="s">
        <v>122</v>
      </c>
      <c r="B45" s="11"/>
      <c r="C45" s="11"/>
      <c r="D45" s="11"/>
      <c r="E45" s="11"/>
      <c r="F45" s="11">
        <f t="shared" ref="F45:I45" si="9">F14/E14-1</f>
        <v>0.99136591996914247</v>
      </c>
      <c r="G45" s="11">
        <f t="shared" si="9"/>
        <v>0.50246906084523291</v>
      </c>
      <c r="H45" s="11">
        <f t="shared" si="9"/>
        <v>0.35405412634707423</v>
      </c>
      <c r="I45" s="11">
        <f t="shared" si="9"/>
        <v>0.30245794785218161</v>
      </c>
      <c r="J45" s="27"/>
    </row>
    <row r="46" spans="1:11" s="11" customFormat="1" ht="10.199999999999999" outlineLevel="1" x14ac:dyDescent="0.2">
      <c r="A46" s="23" t="s">
        <v>2</v>
      </c>
      <c r="B46" s="11">
        <f>B16/B11</f>
        <v>0.5</v>
      </c>
      <c r="C46" s="11">
        <f t="shared" ref="C46:I46" si="10">C16/C11</f>
        <v>0.5</v>
      </c>
      <c r="D46" s="11">
        <f t="shared" si="10"/>
        <v>0.51666666666666672</v>
      </c>
      <c r="E46" s="11">
        <f t="shared" si="10"/>
        <v>0.52111594512136261</v>
      </c>
      <c r="F46" s="11">
        <f t="shared" si="10"/>
        <v>0.53434830324698612</v>
      </c>
      <c r="G46" s="11">
        <f t="shared" si="10"/>
        <v>0.54609249649620129</v>
      </c>
      <c r="H46" s="11">
        <f t="shared" si="10"/>
        <v>0.55725174633339014</v>
      </c>
      <c r="I46" s="11">
        <f t="shared" si="10"/>
        <v>0.56886909534394192</v>
      </c>
      <c r="J46" s="29"/>
      <c r="K46" s="10"/>
    </row>
    <row r="47" spans="1:11" s="14" customFormat="1" ht="10.199999999999999" outlineLevel="1" x14ac:dyDescent="0.2">
      <c r="A47" s="10" t="s">
        <v>50</v>
      </c>
      <c r="B47" s="11">
        <f>B18/B8</f>
        <v>0.3</v>
      </c>
      <c r="C47" s="11">
        <f>C18/C8</f>
        <v>0.29090909090909089</v>
      </c>
      <c r="D47" s="11">
        <f>D18/D8</f>
        <v>0.28333333333333333</v>
      </c>
      <c r="E47" s="12">
        <f>D47-0.5%</f>
        <v>0.27833333333333332</v>
      </c>
      <c r="F47" s="12">
        <f>E47-0.5%</f>
        <v>0.27333333333333332</v>
      </c>
      <c r="G47" s="12">
        <f>F47-0.5%</f>
        <v>0.26833333333333331</v>
      </c>
      <c r="H47" s="12">
        <f>G47-0.5%</f>
        <v>0.26333333333333331</v>
      </c>
      <c r="I47" s="12">
        <f>H47-0.5%</f>
        <v>0.2583333333333333</v>
      </c>
      <c r="J47" s="27"/>
      <c r="K47" s="11" t="s">
        <v>52</v>
      </c>
    </row>
    <row r="48" spans="1:11" s="14" customFormat="1" ht="10.199999999999999" outlineLevel="1" x14ac:dyDescent="0.2">
      <c r="A48" s="10" t="s">
        <v>51</v>
      </c>
      <c r="B48" s="11"/>
      <c r="C48" s="11">
        <f>C19/B19-1</f>
        <v>6.6666666666666652E-2</v>
      </c>
      <c r="D48" s="11">
        <f>D19/C19-1</f>
        <v>6.25E-2</v>
      </c>
      <c r="E48" s="12">
        <f>D48+0.5%</f>
        <v>6.7500000000000004E-2</v>
      </c>
      <c r="F48" s="12">
        <f t="shared" ref="F48:I48" si="11">E48+0.5%</f>
        <v>7.2500000000000009E-2</v>
      </c>
      <c r="G48" s="12">
        <f t="shared" si="11"/>
        <v>7.7500000000000013E-2</v>
      </c>
      <c r="H48" s="12">
        <f t="shared" si="11"/>
        <v>8.2500000000000018E-2</v>
      </c>
      <c r="I48" s="12">
        <f t="shared" si="11"/>
        <v>8.7500000000000022E-2</v>
      </c>
      <c r="J48" s="27"/>
      <c r="K48" s="11" t="s">
        <v>53</v>
      </c>
    </row>
    <row r="49" spans="1:11" s="14" customFormat="1" ht="10.199999999999999" outlineLevel="1" x14ac:dyDescent="0.2">
      <c r="A49" s="10" t="s">
        <v>129</v>
      </c>
      <c r="B49" s="11"/>
      <c r="C49" s="11"/>
      <c r="D49" s="11"/>
      <c r="E49" s="11">
        <f>E20/D20-1</f>
        <v>0.1421930437745258</v>
      </c>
      <c r="F49" s="11">
        <f>F20/E20-1</f>
        <v>0.51941365311024268</v>
      </c>
      <c r="G49" s="11">
        <f>G20/F20-1</f>
        <v>0.32650000655329481</v>
      </c>
      <c r="H49" s="11">
        <f>H20/G20-1</f>
        <v>0.26759312479322706</v>
      </c>
      <c r="I49" s="11">
        <f>I20/H20-1</f>
        <v>0.25085212519882782</v>
      </c>
      <c r="J49" s="27"/>
      <c r="K49" s="11"/>
    </row>
    <row r="50" spans="1:11" s="14" customFormat="1" ht="10.199999999999999" outlineLevel="1" x14ac:dyDescent="0.2">
      <c r="A50" s="23" t="s">
        <v>5</v>
      </c>
      <c r="B50" s="11">
        <f t="shared" ref="B50:I50" si="12">B22/B8</f>
        <v>0.17</v>
      </c>
      <c r="C50" s="11">
        <f t="shared" si="12"/>
        <v>0.18</v>
      </c>
      <c r="D50" s="11">
        <f t="shared" si="12"/>
        <v>0.14416666666666667</v>
      </c>
      <c r="E50" s="11">
        <f t="shared" si="12"/>
        <v>0.19130850937741936</v>
      </c>
      <c r="F50" s="11">
        <f t="shared" si="12"/>
        <v>0.22459812523997721</v>
      </c>
      <c r="G50" s="11">
        <f t="shared" si="12"/>
        <v>0.2598664188529799</v>
      </c>
      <c r="H50" s="11">
        <f t="shared" si="12"/>
        <v>0.29603849634468471</v>
      </c>
      <c r="I50" s="11">
        <f t="shared" si="12"/>
        <v>0.33613465601449788</v>
      </c>
      <c r="J50" s="29"/>
    </row>
    <row r="51" spans="1:11" s="11" customFormat="1" ht="10.199999999999999" outlineLevel="1" x14ac:dyDescent="0.2">
      <c r="A51" s="10" t="s">
        <v>120</v>
      </c>
      <c r="C51" s="11">
        <f>C24/B24-1</f>
        <v>0.10000000000000009</v>
      </c>
      <c r="D51" s="11">
        <f>D24/C24-1</f>
        <v>9.0909090909090828E-2</v>
      </c>
      <c r="E51" s="12">
        <f>D51</f>
        <v>9.0909090909090828E-2</v>
      </c>
      <c r="F51" s="12">
        <f>E51</f>
        <v>9.0909090909090828E-2</v>
      </c>
      <c r="G51" s="12">
        <f>F51</f>
        <v>9.0909090909090828E-2</v>
      </c>
      <c r="H51" s="12">
        <f>G51</f>
        <v>9.0909090909090828E-2</v>
      </c>
      <c r="I51" s="12">
        <f>H51</f>
        <v>9.0909090909090828E-2</v>
      </c>
      <c r="J51" s="27"/>
      <c r="K51" s="11" t="s">
        <v>54</v>
      </c>
    </row>
    <row r="52" spans="1:11" s="11" customFormat="1" ht="10.199999999999999" outlineLevel="1" x14ac:dyDescent="0.2">
      <c r="A52" s="10" t="s">
        <v>124</v>
      </c>
      <c r="E52" s="11">
        <f>E25/D25-1</f>
        <v>0</v>
      </c>
      <c r="F52" s="11">
        <f t="shared" ref="F52:I52" si="13">F25/E25-1</f>
        <v>0</v>
      </c>
      <c r="G52" s="11">
        <f t="shared" si="13"/>
        <v>0</v>
      </c>
      <c r="H52" s="11">
        <f t="shared" si="13"/>
        <v>0</v>
      </c>
      <c r="I52" s="11">
        <f t="shared" si="13"/>
        <v>0</v>
      </c>
      <c r="J52" s="27"/>
    </row>
    <row r="53" spans="1:11" s="14" customFormat="1" ht="10.199999999999999" outlineLevel="1" x14ac:dyDescent="0.2">
      <c r="A53" s="23" t="s">
        <v>4</v>
      </c>
      <c r="B53" s="11">
        <f>B27/B8</f>
        <v>0.16</v>
      </c>
      <c r="C53" s="11">
        <f t="shared" ref="C53:I53" si="14">C27/C8</f>
        <v>0.17</v>
      </c>
      <c r="D53" s="11">
        <f t="shared" si="14"/>
        <v>0.10916666666666666</v>
      </c>
      <c r="E53" s="11">
        <f t="shared" si="14"/>
        <v>0.1585284263898675</v>
      </c>
      <c r="F53" s="11">
        <f t="shared" si="14"/>
        <v>0.19378403633460198</v>
      </c>
      <c r="G53" s="11">
        <f t="shared" si="14"/>
        <v>0.2308825949337234</v>
      </c>
      <c r="H53" s="11">
        <f t="shared" si="14"/>
        <v>0.26871557422981318</v>
      </c>
      <c r="I53" s="11">
        <f t="shared" si="14"/>
        <v>0.31033911160234023</v>
      </c>
      <c r="J53" s="29"/>
    </row>
    <row r="54" spans="1:11" s="11" customFormat="1" ht="10.199999999999999" outlineLevel="1" x14ac:dyDescent="0.2">
      <c r="A54" s="10" t="s">
        <v>6</v>
      </c>
      <c r="C54" s="11">
        <f>C29/B29-1</f>
        <v>0.33333333333333326</v>
      </c>
      <c r="D54" s="11">
        <f>D29/C29-1</f>
        <v>0.25</v>
      </c>
      <c r="E54" s="12">
        <f>D54</f>
        <v>0.25</v>
      </c>
      <c r="F54" s="12">
        <f>E54</f>
        <v>0.25</v>
      </c>
      <c r="G54" s="12">
        <f>F54</f>
        <v>0.25</v>
      </c>
      <c r="H54" s="12">
        <f>G54</f>
        <v>0.25</v>
      </c>
      <c r="I54" s="12">
        <f>H54</f>
        <v>0.25</v>
      </c>
      <c r="J54" s="27"/>
      <c r="K54" s="11" t="s">
        <v>54</v>
      </c>
    </row>
    <row r="55" spans="1:11" s="14" customFormat="1" ht="10.199999999999999" outlineLevel="1" x14ac:dyDescent="0.2">
      <c r="A55" s="23" t="s">
        <v>16</v>
      </c>
      <c r="B55" s="11">
        <f t="shared" ref="B55:I55" si="15">B31/B8</f>
        <v>0.13</v>
      </c>
      <c r="C55" s="11">
        <f t="shared" si="15"/>
        <v>0.13363636363636364</v>
      </c>
      <c r="D55" s="11">
        <f t="shared" si="15"/>
        <v>6.7500000000000004E-2</v>
      </c>
      <c r="E55" s="11">
        <f t="shared" si="15"/>
        <v>0.11098347479927276</v>
      </c>
      <c r="F55" s="11">
        <f t="shared" si="15"/>
        <v>0.13941870707300716</v>
      </c>
      <c r="G55" s="11">
        <f t="shared" si="15"/>
        <v>0.16878304956741572</v>
      </c>
      <c r="H55" s="11">
        <f t="shared" si="15"/>
        <v>0.19774466523974726</v>
      </c>
      <c r="I55" s="11">
        <f t="shared" si="15"/>
        <v>0.22925056328858012</v>
      </c>
      <c r="J55" s="29"/>
    </row>
    <row r="56" spans="1:11" s="14" customFormat="1" ht="10.199999999999999" outlineLevel="1" x14ac:dyDescent="0.2">
      <c r="A56" s="10" t="s">
        <v>7</v>
      </c>
      <c r="B56" s="11">
        <f>B33/B31</f>
        <v>0.23076923076923078</v>
      </c>
      <c r="C56" s="11">
        <f>C33/C31</f>
        <v>0.23129251700680273</v>
      </c>
      <c r="D56" s="11">
        <f>D33/D31</f>
        <v>0.46913580246913578</v>
      </c>
      <c r="E56" s="12">
        <f>AVERAGE($B$56:$D$56)</f>
        <v>0.3103991834150564</v>
      </c>
      <c r="F56" s="12">
        <f>AVERAGE($B$56:$D$56)</f>
        <v>0.3103991834150564</v>
      </c>
      <c r="G56" s="12">
        <f>AVERAGE($B$56:$D$56)</f>
        <v>0.3103991834150564</v>
      </c>
      <c r="H56" s="12">
        <f>AVERAGE($B$56:$D$56)</f>
        <v>0.3103991834150564</v>
      </c>
      <c r="I56" s="12">
        <f>AVERAGE($B$56:$D$56)</f>
        <v>0.3103991834150564</v>
      </c>
      <c r="J56" s="27"/>
      <c r="K56" s="9" t="s">
        <v>42</v>
      </c>
    </row>
    <row r="57" spans="1:11" s="10" customFormat="1" ht="10.199999999999999" outlineLevel="1" x14ac:dyDescent="0.2">
      <c r="A57" s="23" t="s">
        <v>8</v>
      </c>
      <c r="B57" s="11">
        <f t="shared" ref="B57:I57" si="16">B35/B8</f>
        <v>0.1</v>
      </c>
      <c r="C57" s="11">
        <f t="shared" si="16"/>
        <v>0.10272727272727272</v>
      </c>
      <c r="D57" s="11">
        <f t="shared" si="16"/>
        <v>3.5833333333333335E-2</v>
      </c>
      <c r="E57" s="11">
        <f t="shared" si="16"/>
        <v>7.6534294849013002E-2</v>
      </c>
      <c r="F57" s="11">
        <f t="shared" si="16"/>
        <v>9.8124407693587115E-2</v>
      </c>
      <c r="G57" s="11">
        <f t="shared" si="16"/>
        <v>0.11933489355068651</v>
      </c>
      <c r="H57" s="11">
        <f t="shared" si="16"/>
        <v>0.1385018553968195</v>
      </c>
      <c r="I57" s="11">
        <f t="shared" si="16"/>
        <v>0.15829141285033585</v>
      </c>
      <c r="J57" s="29"/>
    </row>
  </sheetData>
  <mergeCells count="1">
    <mergeCell ref="A1:K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C508-D672-4C9F-A07F-55C8DBEFDE5B}">
  <sheetPr>
    <tabColor rgb="FF002060"/>
  </sheetPr>
  <dimension ref="A1"/>
  <sheetViews>
    <sheetView showGridLines="0" workbookViewId="0">
      <selection activeCell="G24" sqref="G24"/>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7311-B386-47FC-BF9D-0FCE2AA9D1F8}">
  <sheetPr>
    <tabColor rgb="FFFFFF00"/>
  </sheetPr>
  <dimension ref="A1:K93"/>
  <sheetViews>
    <sheetView showGridLines="0" topLeftCell="A58" zoomScale="84" zoomScaleNormal="70" workbookViewId="0">
      <selection activeCell="I98" sqref="I98"/>
    </sheetView>
  </sheetViews>
  <sheetFormatPr defaultRowHeight="11.4" outlineLevelRow="1" x14ac:dyDescent="0.2"/>
  <cols>
    <col min="1" max="1" width="29.88671875" style="28" bestFit="1" customWidth="1"/>
    <col min="2" max="9" width="8.88671875" style="28"/>
    <col min="10" max="10" width="3" style="28" customWidth="1"/>
    <col min="11" max="11" width="57.88671875" style="48" customWidth="1"/>
    <col min="12" max="16384" width="8.88671875" style="28"/>
  </cols>
  <sheetData>
    <row r="1" spans="1:11" x14ac:dyDescent="0.2">
      <c r="A1" s="71"/>
      <c r="B1" s="71"/>
      <c r="C1" s="71"/>
      <c r="D1" s="71"/>
      <c r="E1" s="71"/>
      <c r="F1" s="71"/>
      <c r="G1" s="71"/>
      <c r="H1" s="71"/>
      <c r="I1" s="71"/>
      <c r="J1" s="71"/>
      <c r="K1" s="71"/>
    </row>
    <row r="2" spans="1:11" ht="12" x14ac:dyDescent="0.25">
      <c r="A2" s="58" t="s">
        <v>0</v>
      </c>
    </row>
    <row r="3" spans="1:11" ht="12" outlineLevel="1" x14ac:dyDescent="0.25">
      <c r="A3" s="58"/>
    </row>
    <row r="4" spans="1:11" outlineLevel="1" x14ac:dyDescent="0.2">
      <c r="A4" s="59"/>
    </row>
    <row r="5" spans="1:11" outlineLevel="1" x14ac:dyDescent="0.2"/>
    <row r="6" spans="1:11" ht="12" outlineLevel="1" x14ac:dyDescent="0.25">
      <c r="B6" s="60"/>
      <c r="C6" s="60"/>
      <c r="D6" s="60"/>
      <c r="E6" s="60"/>
      <c r="F6" s="60"/>
      <c r="G6" s="60"/>
      <c r="H6" s="60"/>
      <c r="I6" s="60"/>
      <c r="J6" s="60"/>
    </row>
    <row r="7" spans="1:11" outlineLevel="1" x14ac:dyDescent="0.2"/>
    <row r="8" spans="1:11" outlineLevel="1" x14ac:dyDescent="0.2">
      <c r="B8" s="61"/>
      <c r="C8" s="61"/>
      <c r="D8" s="61"/>
    </row>
    <row r="9" spans="1:11" outlineLevel="1" x14ac:dyDescent="0.2">
      <c r="B9" s="61"/>
      <c r="C9" s="61"/>
      <c r="D9" s="61"/>
      <c r="E9" s="62"/>
      <c r="F9" s="62"/>
      <c r="G9" s="62"/>
      <c r="H9" s="62"/>
      <c r="I9" s="62"/>
    </row>
    <row r="10" spans="1:11" outlineLevel="1" x14ac:dyDescent="0.2">
      <c r="B10" s="61"/>
      <c r="C10" s="61"/>
      <c r="D10" s="61"/>
      <c r="E10" s="62"/>
      <c r="F10" s="62"/>
      <c r="G10" s="62"/>
      <c r="H10" s="62"/>
      <c r="I10" s="62"/>
    </row>
    <row r="11" spans="1:11" ht="12" outlineLevel="1" x14ac:dyDescent="0.25">
      <c r="A11" s="58"/>
    </row>
    <row r="12" spans="1:11" ht="12" outlineLevel="1" x14ac:dyDescent="0.25">
      <c r="A12" s="58"/>
      <c r="B12" s="61"/>
      <c r="C12" s="61"/>
      <c r="D12" s="61"/>
    </row>
    <row r="13" spans="1:11" outlineLevel="1" x14ac:dyDescent="0.2">
      <c r="B13" s="61"/>
      <c r="C13" s="61"/>
      <c r="D13" s="61"/>
    </row>
    <row r="14" spans="1:11" outlineLevel="1" x14ac:dyDescent="0.2">
      <c r="B14" s="61"/>
      <c r="C14" s="61"/>
      <c r="D14" s="61"/>
      <c r="E14" s="62"/>
      <c r="F14" s="62"/>
      <c r="G14" s="62"/>
      <c r="H14" s="62"/>
      <c r="I14" s="62"/>
    </row>
    <row r="15" spans="1:11" outlineLevel="1" x14ac:dyDescent="0.2">
      <c r="B15" s="61"/>
      <c r="C15" s="61"/>
      <c r="D15" s="61"/>
    </row>
    <row r="16" spans="1:11" ht="12" outlineLevel="1" x14ac:dyDescent="0.25">
      <c r="A16" s="58"/>
    </row>
    <row r="17" spans="1:9" ht="12" outlineLevel="1" x14ac:dyDescent="0.25">
      <c r="A17" s="58"/>
    </row>
    <row r="18" spans="1:9" outlineLevel="1" x14ac:dyDescent="0.2">
      <c r="B18" s="61"/>
      <c r="C18" s="61"/>
      <c r="D18" s="61"/>
    </row>
    <row r="19" spans="1:9" outlineLevel="1" x14ac:dyDescent="0.2">
      <c r="B19" s="61"/>
      <c r="C19" s="61"/>
      <c r="D19" s="61"/>
    </row>
    <row r="20" spans="1:9" outlineLevel="1" x14ac:dyDescent="0.2">
      <c r="B20" s="61"/>
      <c r="C20" s="61"/>
      <c r="D20" s="62"/>
      <c r="E20" s="62"/>
      <c r="F20" s="62"/>
      <c r="G20" s="62"/>
      <c r="H20" s="62"/>
      <c r="I20" s="62"/>
    </row>
    <row r="21" spans="1:9" outlineLevel="1" x14ac:dyDescent="0.2">
      <c r="B21" s="61"/>
      <c r="C21" s="61"/>
      <c r="D21" s="61"/>
    </row>
    <row r="22" spans="1:9" ht="12" outlineLevel="1" x14ac:dyDescent="0.25">
      <c r="A22" s="58"/>
    </row>
    <row r="23" spans="1:9" ht="12" outlineLevel="1" x14ac:dyDescent="0.25">
      <c r="A23" s="58"/>
    </row>
    <row r="24" spans="1:9" outlineLevel="1" x14ac:dyDescent="0.2">
      <c r="B24" s="61"/>
      <c r="C24" s="61"/>
      <c r="D24" s="61"/>
    </row>
    <row r="25" spans="1:9" outlineLevel="1" x14ac:dyDescent="0.2">
      <c r="B25" s="61"/>
      <c r="C25" s="61"/>
      <c r="D25" s="62"/>
      <c r="E25" s="62"/>
      <c r="F25" s="62"/>
      <c r="G25" s="62"/>
      <c r="H25" s="62"/>
      <c r="I25" s="62"/>
    </row>
    <row r="26" spans="1:9" outlineLevel="1" x14ac:dyDescent="0.2">
      <c r="B26" s="61"/>
      <c r="C26" s="61"/>
      <c r="D26" s="61"/>
    </row>
    <row r="27" spans="1:9" ht="12" outlineLevel="1" x14ac:dyDescent="0.25">
      <c r="A27" s="58"/>
    </row>
    <row r="28" spans="1:9" ht="12" outlineLevel="1" x14ac:dyDescent="0.25">
      <c r="A28" s="58"/>
    </row>
    <row r="29" spans="1:9" outlineLevel="1" x14ac:dyDescent="0.2">
      <c r="A29" s="28" t="s">
        <v>131</v>
      </c>
      <c r="B29" s="61"/>
      <c r="C29" s="61"/>
      <c r="D29" s="61"/>
    </row>
    <row r="30" spans="1:9" outlineLevel="1" x14ac:dyDescent="0.2">
      <c r="A30" s="28" t="s">
        <v>132</v>
      </c>
      <c r="B30" s="61"/>
      <c r="C30" s="61"/>
      <c r="D30" s="61"/>
    </row>
    <row r="31" spans="1:9" outlineLevel="1" x14ac:dyDescent="0.2">
      <c r="A31" s="28" t="s">
        <v>133</v>
      </c>
    </row>
    <row r="32" spans="1:9" ht="12" outlineLevel="1" x14ac:dyDescent="0.25">
      <c r="A32" s="58"/>
    </row>
    <row r="33" spans="1:11" ht="12" outlineLevel="1" x14ac:dyDescent="0.25">
      <c r="A33" s="58" t="s">
        <v>109</v>
      </c>
      <c r="B33" s="61"/>
      <c r="C33" s="61"/>
      <c r="D33" s="61"/>
    </row>
    <row r="34" spans="1:11" outlineLevel="1" x14ac:dyDescent="0.2">
      <c r="B34" s="61"/>
      <c r="C34" s="61"/>
      <c r="D34" s="61"/>
    </row>
    <row r="35" spans="1:11" ht="12" outlineLevel="1" x14ac:dyDescent="0.25">
      <c r="A35" s="58"/>
    </row>
    <row r="38" spans="1:11" ht="12" outlineLevel="1" x14ac:dyDescent="0.25">
      <c r="A38" s="58"/>
      <c r="K38" s="28"/>
    </row>
    <row r="39" spans="1:11" outlineLevel="1" x14ac:dyDescent="0.2"/>
    <row r="40" spans="1:11" ht="12" outlineLevel="1" x14ac:dyDescent="0.25">
      <c r="B40" s="60"/>
      <c r="C40" s="60"/>
      <c r="D40" s="60"/>
      <c r="E40" s="60"/>
      <c r="F40" s="60"/>
      <c r="G40" s="60"/>
      <c r="H40" s="60"/>
      <c r="I40" s="60"/>
      <c r="K40" s="63"/>
    </row>
    <row r="41" spans="1:11" s="64" customFormat="1" outlineLevel="1" x14ac:dyDescent="0.2">
      <c r="A41" s="28"/>
      <c r="C41" s="41"/>
      <c r="D41" s="41"/>
      <c r="E41" s="27"/>
      <c r="F41" s="27"/>
      <c r="G41" s="27"/>
      <c r="H41" s="27"/>
      <c r="I41" s="27"/>
      <c r="J41" s="27"/>
    </row>
    <row r="42" spans="1:11" s="64" customFormat="1" outlineLevel="1" x14ac:dyDescent="0.2">
      <c r="A42" s="28"/>
      <c r="C42" s="41"/>
      <c r="D42" s="41"/>
      <c r="E42" s="41"/>
      <c r="F42" s="41"/>
      <c r="G42" s="41"/>
      <c r="H42" s="41"/>
      <c r="I42" s="41"/>
      <c r="J42" s="27"/>
    </row>
    <row r="43" spans="1:11" s="64" customFormat="1" ht="12" outlineLevel="1" x14ac:dyDescent="0.25">
      <c r="A43" s="58"/>
      <c r="C43" s="41"/>
      <c r="D43" s="41"/>
      <c r="E43" s="41"/>
      <c r="F43" s="41"/>
      <c r="G43" s="41"/>
      <c r="H43" s="41"/>
      <c r="I43" s="41"/>
      <c r="J43" s="27"/>
      <c r="K43" s="48"/>
    </row>
    <row r="44" spans="1:11" s="64" customFormat="1" ht="10.199999999999999" outlineLevel="1" x14ac:dyDescent="0.2">
      <c r="A44" s="48"/>
      <c r="B44" s="41"/>
      <c r="C44" s="41"/>
      <c r="D44" s="41"/>
      <c r="E44" s="27"/>
      <c r="F44" s="27"/>
      <c r="G44" s="27"/>
      <c r="H44" s="27"/>
      <c r="I44" s="27"/>
      <c r="J44" s="27"/>
    </row>
    <row r="45" spans="1:11" s="64" customFormat="1" ht="10.199999999999999" outlineLevel="1" x14ac:dyDescent="0.2">
      <c r="A45" s="48"/>
      <c r="B45" s="41"/>
      <c r="C45" s="41"/>
      <c r="D45" s="41"/>
      <c r="E45" s="41"/>
      <c r="F45" s="41"/>
      <c r="G45" s="41"/>
      <c r="H45" s="41"/>
      <c r="I45" s="41"/>
      <c r="J45" s="27"/>
    </row>
    <row r="46" spans="1:11" s="41" customFormat="1" ht="10.199999999999999" outlineLevel="1" x14ac:dyDescent="0.2">
      <c r="A46" s="63"/>
      <c r="K46" s="48"/>
    </row>
    <row r="47" spans="1:11" s="65" customFormat="1" ht="10.199999999999999" outlineLevel="1" x14ac:dyDescent="0.2">
      <c r="A47" s="48"/>
      <c r="B47" s="41"/>
      <c r="C47" s="41"/>
      <c r="D47" s="41"/>
      <c r="E47" s="27"/>
      <c r="F47" s="27"/>
      <c r="G47" s="27"/>
      <c r="H47" s="27"/>
      <c r="I47" s="27"/>
      <c r="J47" s="27"/>
      <c r="K47" s="41"/>
    </row>
    <row r="48" spans="1:11" s="65" customFormat="1" ht="10.199999999999999" outlineLevel="1" x14ac:dyDescent="0.2">
      <c r="A48" s="48"/>
      <c r="B48" s="41"/>
      <c r="C48" s="41"/>
      <c r="D48" s="41"/>
      <c r="E48" s="27"/>
      <c r="F48" s="27"/>
      <c r="G48" s="27"/>
      <c r="H48" s="27"/>
      <c r="I48" s="27"/>
      <c r="J48" s="27"/>
      <c r="K48" s="41"/>
    </row>
    <row r="49" spans="1:11" s="65" customFormat="1" ht="10.199999999999999" outlineLevel="1" x14ac:dyDescent="0.2">
      <c r="A49" s="48"/>
      <c r="B49" s="41"/>
      <c r="C49" s="41"/>
      <c r="D49" s="41"/>
      <c r="E49" s="41"/>
      <c r="F49" s="41"/>
      <c r="G49" s="41"/>
      <c r="H49" s="41"/>
      <c r="I49" s="41"/>
      <c r="J49" s="27"/>
      <c r="K49" s="41"/>
    </row>
    <row r="50" spans="1:11" s="65" customFormat="1" ht="10.199999999999999" outlineLevel="1" x14ac:dyDescent="0.2">
      <c r="A50" s="63"/>
      <c r="B50" s="41"/>
      <c r="C50" s="41"/>
      <c r="D50" s="41"/>
      <c r="E50" s="41"/>
      <c r="F50" s="41"/>
      <c r="G50" s="41"/>
      <c r="H50" s="41"/>
      <c r="I50" s="41"/>
      <c r="J50" s="41"/>
    </row>
    <row r="51" spans="1:11" s="41" customFormat="1" ht="10.199999999999999" outlineLevel="1" x14ac:dyDescent="0.2">
      <c r="A51" s="48"/>
      <c r="E51" s="27"/>
      <c r="F51" s="27"/>
      <c r="G51" s="27"/>
      <c r="H51" s="27"/>
      <c r="I51" s="27"/>
      <c r="J51" s="27"/>
    </row>
    <row r="52" spans="1:11" s="41" customFormat="1" ht="10.199999999999999" outlineLevel="1" x14ac:dyDescent="0.2">
      <c r="A52" s="48"/>
      <c r="J52" s="27"/>
    </row>
    <row r="53" spans="1:11" s="65" customFormat="1" ht="10.199999999999999" outlineLevel="1" x14ac:dyDescent="0.2">
      <c r="A53" s="63"/>
      <c r="B53" s="41"/>
      <c r="C53" s="41"/>
      <c r="D53" s="41"/>
      <c r="E53" s="41"/>
      <c r="F53" s="41"/>
      <c r="G53" s="41"/>
      <c r="H53" s="41"/>
      <c r="I53" s="41"/>
      <c r="J53" s="41"/>
    </row>
    <row r="54" spans="1:11" s="41" customFormat="1" ht="10.199999999999999" outlineLevel="1" x14ac:dyDescent="0.2">
      <c r="A54" s="48"/>
      <c r="E54" s="27"/>
      <c r="F54" s="27"/>
      <c r="G54" s="27"/>
      <c r="H54" s="27"/>
      <c r="I54" s="27"/>
      <c r="J54" s="27"/>
    </row>
    <row r="55" spans="1:11" s="65" customFormat="1" ht="10.199999999999999" outlineLevel="1" x14ac:dyDescent="0.2">
      <c r="A55" s="63"/>
      <c r="B55" s="41"/>
      <c r="C55" s="41"/>
      <c r="D55" s="41"/>
      <c r="E55" s="41"/>
      <c r="F55" s="41"/>
      <c r="G55" s="41"/>
      <c r="H55" s="41"/>
      <c r="I55" s="41"/>
      <c r="J55" s="41"/>
    </row>
    <row r="56" spans="1:11" s="65" customFormat="1" ht="10.199999999999999" outlineLevel="1" x14ac:dyDescent="0.2">
      <c r="A56" s="48"/>
      <c r="B56" s="41"/>
      <c r="C56" s="41"/>
      <c r="D56" s="41"/>
      <c r="E56" s="27"/>
      <c r="F56" s="27"/>
      <c r="G56" s="27"/>
      <c r="H56" s="27"/>
      <c r="I56" s="27"/>
      <c r="J56" s="27"/>
      <c r="K56" s="64"/>
    </row>
    <row r="57" spans="1:11" s="48" customFormat="1" ht="10.199999999999999" outlineLevel="1" x14ac:dyDescent="0.2">
      <c r="A57" s="63"/>
      <c r="B57" s="41"/>
      <c r="C57" s="41"/>
      <c r="D57" s="41"/>
      <c r="E57" s="41"/>
      <c r="F57" s="41"/>
      <c r="G57" s="41"/>
      <c r="H57" s="41"/>
      <c r="I57" s="41"/>
      <c r="J57" s="41"/>
    </row>
    <row r="61" spans="1:11" x14ac:dyDescent="0.2">
      <c r="A61" s="28" t="s">
        <v>134</v>
      </c>
    </row>
    <row r="62" spans="1:11" x14ac:dyDescent="0.2">
      <c r="A62" s="28" t="s">
        <v>135</v>
      </c>
    </row>
    <row r="93" spans="1:1" x14ac:dyDescent="0.2">
      <c r="A93" s="28" t="s">
        <v>137</v>
      </c>
    </row>
  </sheetData>
  <mergeCells count="1">
    <mergeCell ref="A1:K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BAU&gt;</vt:lpstr>
      <vt:lpstr>BAU v.1</vt:lpstr>
      <vt:lpstr>BAU v.2</vt:lpstr>
      <vt:lpstr>BAU v.3 (Quick)</vt:lpstr>
      <vt:lpstr>REC&gt;</vt:lpstr>
      <vt:lpstr>REC v.1 (Top-Down)</vt:lpstr>
      <vt:lpstr>REC v.2 (Bottom Up)</vt:lpstr>
      <vt:lpstr>MERGE&gt;</vt:lpstr>
      <vt:lpstr>MERGE v.1</vt:lpstr>
      <vt:lpstr>CHARTS&gt;</vt:lpstr>
      <vt:lpstr>CHARTS 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#TAN QI YUN, JONATHAN#</cp:lastModifiedBy>
  <dcterms:created xsi:type="dcterms:W3CDTF">2020-02-07T16:28:29Z</dcterms:created>
  <dcterms:modified xsi:type="dcterms:W3CDTF">2024-01-15T11:32:21Z</dcterms:modified>
</cp:coreProperties>
</file>